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54e2126d0a45b71/Attachments/Documents/Projects/LayoffsAnalysisDashboard/"/>
    </mc:Choice>
  </mc:AlternateContent>
  <xr:revisionPtr revIDLastSave="0" documentId="8_{1D5DEAD0-550A-483D-ACA0-5459587BD8E3}" xr6:coauthVersionLast="47" xr6:coauthVersionMax="47" xr10:uidLastSave="{00000000-0000-0000-0000-000000000000}"/>
  <bookViews>
    <workbookView xWindow="-120" yWindow="-120" windowWidth="29040" windowHeight="16440" activeTab="3" xr2:uid="{B37DEC06-0C13-4BC2-AA0B-C487FA2EC278}"/>
  </bookViews>
  <sheets>
    <sheet name="Home" sheetId="3" r:id="rId1"/>
    <sheet name="Dashboard" sheetId="1" r:id="rId2"/>
    <sheet name="Insights" sheetId="4" r:id="rId3"/>
    <sheet name="Analysis" sheetId="2" r:id="rId4"/>
  </sheets>
  <definedNames>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aid off employees_1bf3d09b-1d7a-4477-b0db-66a0a76d00fe" name="Laid off employees" connection="Query - Laid off employees"/>
          <x15:modelTable id="A_f3604df0-ef77-42f4-bf1f-4fb36f589925" name="A" connection="Query - Meas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2" l="1"/>
  <c r="D18" i="2"/>
  <c r="AP46" i="2" l="1"/>
  <c r="AP47" i="2"/>
  <c r="AP48" i="2"/>
  <c r="AP49" i="2"/>
  <c r="AP50" i="2"/>
  <c r="AP51" i="2"/>
  <c r="AP52" i="2"/>
  <c r="AP53" i="2"/>
  <c r="AP54" i="2"/>
  <c r="AP55" i="2"/>
  <c r="AP45" i="2"/>
  <c r="S26" i="2"/>
  <c r="T26" i="2" s="1"/>
  <c r="S27" i="2"/>
  <c r="T27" i="2" s="1"/>
  <c r="S28" i="2"/>
  <c r="T28" i="2" s="1"/>
  <c r="S29" i="2"/>
  <c r="T29" i="2" s="1"/>
  <c r="S30" i="2"/>
  <c r="T30" i="2" s="1"/>
  <c r="S31" i="2"/>
  <c r="T31" i="2" s="1"/>
  <c r="S32" i="2"/>
  <c r="T32" i="2" s="1"/>
  <c r="S33" i="2"/>
  <c r="T33" i="2" s="1"/>
  <c r="S34" i="2"/>
  <c r="T34" i="2" s="1"/>
  <c r="S35" i="2"/>
  <c r="T35" i="2" s="1"/>
  <c r="S36" i="2"/>
  <c r="T36" i="2" s="1"/>
  <c r="S37" i="2"/>
  <c r="T37" i="2" s="1"/>
  <c r="S25" i="2"/>
  <c r="R26" i="2"/>
  <c r="R27" i="2"/>
  <c r="R28" i="2"/>
  <c r="R29" i="2"/>
  <c r="R30" i="2"/>
  <c r="R31" i="2"/>
  <c r="R32" i="2"/>
  <c r="R33" i="2"/>
  <c r="R34" i="2"/>
  <c r="R35" i="2"/>
  <c r="R36" i="2"/>
  <c r="R37" i="2"/>
  <c r="R25" i="2"/>
  <c r="G16" i="2"/>
  <c r="D17" i="2"/>
  <c r="AP39" i="2" l="1"/>
  <c r="AP8" i="2"/>
  <c r="L26" i="2"/>
  <c r="M26" i="2" s="1"/>
  <c r="L27" i="2"/>
  <c r="M27" i="2" s="1"/>
  <c r="L28" i="2"/>
  <c r="M28" i="2" s="1"/>
  <c r="L29" i="2"/>
  <c r="M29" i="2" s="1"/>
  <c r="AP12" i="2"/>
  <c r="AP42" i="2"/>
  <c r="AR54" i="2" s="1"/>
  <c r="AP41" i="2"/>
  <c r="AP11" i="2"/>
  <c r="AO46" i="2"/>
  <c r="AO47" i="2"/>
  <c r="AO48" i="2"/>
  <c r="AO49" i="2"/>
  <c r="AO50" i="2"/>
  <c r="AO51" i="2"/>
  <c r="AO52" i="2"/>
  <c r="AO53" i="2"/>
  <c r="AO54" i="2"/>
  <c r="AO55" i="2"/>
  <c r="AO45" i="2"/>
  <c r="AO17" i="2"/>
  <c r="M34" i="2"/>
  <c r="AO18" i="2"/>
  <c r="AP18" i="2"/>
  <c r="AO19" i="2"/>
  <c r="AP19" i="2"/>
  <c r="AO20" i="2"/>
  <c r="AP20" i="2"/>
  <c r="AO21" i="2"/>
  <c r="AP21" i="2"/>
  <c r="AO22" i="2"/>
  <c r="AP22" i="2"/>
  <c r="AO23" i="2"/>
  <c r="AP23" i="2"/>
  <c r="AO24" i="2"/>
  <c r="AP24" i="2"/>
  <c r="AO25" i="2"/>
  <c r="AP25" i="2"/>
  <c r="AO26" i="2"/>
  <c r="AP26" i="2"/>
  <c r="AO27" i="2"/>
  <c r="AP27" i="2"/>
  <c r="AP17" i="2"/>
  <c r="S19" i="2" a="1"/>
  <c r="S19" i="2" s="1"/>
  <c r="S18" i="2" a="1"/>
  <c r="S18" i="2" s="1"/>
  <c r="M15" i="2" a="1"/>
  <c r="M15" i="2" s="1"/>
  <c r="M16" i="2" a="1"/>
  <c r="M16" i="2" s="1"/>
  <c r="L25" i="2"/>
  <c r="K26" i="2"/>
  <c r="K27" i="2"/>
  <c r="K28" i="2"/>
  <c r="K29" i="2"/>
  <c r="K25" i="2"/>
  <c r="AR50" i="2" l="1"/>
  <c r="AR46" i="2"/>
  <c r="AR53" i="2"/>
  <c r="AR49" i="2"/>
  <c r="AR52" i="2"/>
  <c r="AR48" i="2"/>
  <c r="AR18" i="2"/>
  <c r="AR55" i="2"/>
  <c r="AR51" i="2"/>
  <c r="AR47" i="2"/>
  <c r="AQ54" i="2"/>
  <c r="AQ50" i="2"/>
  <c r="AQ18" i="2"/>
  <c r="AQ53" i="2"/>
  <c r="AQ49" i="2"/>
  <c r="AQ46" i="2"/>
  <c r="AQ52" i="2"/>
  <c r="AQ48" i="2"/>
  <c r="AQ55" i="2"/>
  <c r="AQ51" i="2"/>
  <c r="AQ47" i="2"/>
  <c r="AQ25" i="2"/>
  <c r="AQ21" i="2"/>
  <c r="AQ26" i="2"/>
  <c r="AQ22" i="2"/>
  <c r="AR24" i="2"/>
  <c r="AR20" i="2"/>
  <c r="AR27" i="2"/>
  <c r="AR23" i="2"/>
  <c r="AR19" i="2"/>
  <c r="AQ23" i="2"/>
  <c r="AQ19" i="2"/>
  <c r="AR25" i="2"/>
  <c r="AQ27" i="2"/>
  <c r="AR21" i="2"/>
  <c r="AQ24" i="2"/>
  <c r="AQ20" i="2"/>
  <c r="AR26" i="2"/>
  <c r="AR22" i="2"/>
  <c r="O26" i="2"/>
  <c r="V35" i="2"/>
  <c r="V31" i="2"/>
  <c r="V27" i="2"/>
  <c r="N27" i="2"/>
  <c r="U33" i="2"/>
  <c r="O27" i="2"/>
  <c r="V28" i="2"/>
  <c r="U36" i="2"/>
  <c r="U32" i="2"/>
  <c r="U28" i="2"/>
  <c r="U37" i="2"/>
  <c r="U26" i="2"/>
  <c r="V26" i="2"/>
  <c r="U30" i="2"/>
  <c r="U29" i="2"/>
  <c r="V34" i="2"/>
  <c r="O29" i="2"/>
  <c r="V30" i="2"/>
  <c r="U35" i="2"/>
  <c r="U31" i="2"/>
  <c r="U27" i="2"/>
  <c r="O28" i="2"/>
  <c r="V37" i="2"/>
  <c r="V33" i="2"/>
  <c r="V29" i="2"/>
  <c r="U34" i="2"/>
  <c r="N26" i="2"/>
  <c r="V36" i="2"/>
  <c r="V32" i="2"/>
  <c r="N29" i="2"/>
  <c r="N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E8FF4D-1CD8-4039-A649-7B0BBF7178CA}" name="Query - Laid off employees" description="Connection to the 'Laid off employees' query in the workbook." type="100" refreshedVersion="8" minRefreshableVersion="5">
    <extLst>
      <ext xmlns:x15="http://schemas.microsoft.com/office/spreadsheetml/2010/11/main" uri="{DE250136-89BD-433C-8126-D09CA5730AF9}">
        <x15:connection id="d31f0b76-757c-416e-a7be-bc94253dbb90"/>
      </ext>
    </extLst>
  </connection>
  <connection id="2" xr16:uid="{7EEB2649-48E1-42C2-98FB-0CC70F2587A7}" name="Query - Measures" description="Connection to the 'Measures' query in the workbook." type="100" refreshedVersion="8" minRefreshableVersion="5">
    <extLst>
      <ext xmlns:x15="http://schemas.microsoft.com/office/spreadsheetml/2010/11/main" uri="{DE250136-89BD-433C-8126-D09CA5730AF9}">
        <x15:connection id="a33ac243-e3a9-4ca1-bdce-2a2a4f23090a">
          <x15:oledbPr connection="Provider=Microsoft.Mashup.OleDb.1;Data Source=$Workbook$;Location=Measures;Extended Properties=&quot;&quot;">
            <x15:dbTables>
              <x15:dbTable name="Measures"/>
            </x15:dbTables>
          </x15:oledbPr>
        </x15:connection>
      </ext>
    </extLst>
  </connection>
  <connection id="3" xr16:uid="{76110A84-F380-4A79-A1E7-3CBDCAA0E4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<sst xmlns="http://schemas.openxmlformats.org/spreadsheetml/2006/main" count="158" uniqueCount="101">
  <si>
    <t>Total Laid Off</t>
  </si>
  <si>
    <t>Total Funds</t>
  </si>
  <si>
    <t>Total Company</t>
  </si>
  <si>
    <t>Total Industry</t>
  </si>
  <si>
    <t>#Transaction</t>
  </si>
  <si>
    <t>Important KPI's</t>
  </si>
  <si>
    <t>Row Labels</t>
  </si>
  <si>
    <t>OFF</t>
  </si>
  <si>
    <t>ON</t>
  </si>
  <si>
    <t>Apr</t>
  </si>
  <si>
    <t>Aug</t>
  </si>
  <si>
    <t>Dec</t>
  </si>
  <si>
    <t>Feb</t>
  </si>
  <si>
    <t>Jan</t>
  </si>
  <si>
    <t>Jul</t>
  </si>
  <si>
    <t>Jun</t>
  </si>
  <si>
    <t>Mar</t>
  </si>
  <si>
    <t>May</t>
  </si>
  <si>
    <t>Nov</t>
  </si>
  <si>
    <t>Oct</t>
  </si>
  <si>
    <t>Sep</t>
  </si>
  <si>
    <t>Signal</t>
  </si>
  <si>
    <t>Generator</t>
  </si>
  <si>
    <t>Year</t>
  </si>
  <si>
    <t>Months</t>
  </si>
  <si>
    <t>funds_raised_millions</t>
  </si>
  <si>
    <t>Year Generator</t>
  </si>
  <si>
    <t>Month Generator</t>
  </si>
  <si>
    <t>H</t>
  </si>
  <si>
    <t>L</t>
  </si>
  <si>
    <t>MAX</t>
  </si>
  <si>
    <t>MIN</t>
  </si>
  <si>
    <t>bars</t>
  </si>
  <si>
    <t>Caption</t>
  </si>
  <si>
    <t>Trendlines</t>
  </si>
  <si>
    <t>Amazon</t>
  </si>
  <si>
    <t>Better.com</t>
  </si>
  <si>
    <t>Booking.com</t>
  </si>
  <si>
    <t>Byju's</t>
  </si>
  <si>
    <t>Carvana</t>
  </si>
  <si>
    <t>Cisco</t>
  </si>
  <si>
    <t>Dell</t>
  </si>
  <si>
    <t>Ericsson</t>
  </si>
  <si>
    <t>Google</t>
  </si>
  <si>
    <t>IBM</t>
  </si>
  <si>
    <t>Company</t>
  </si>
  <si>
    <t>Consumer</t>
  </si>
  <si>
    <t>Crypto</t>
  </si>
  <si>
    <t>Finance</t>
  </si>
  <si>
    <t>Food</t>
  </si>
  <si>
    <t>Hardware</t>
  </si>
  <si>
    <t>Healthcare</t>
  </si>
  <si>
    <t>Other</t>
  </si>
  <si>
    <t>Retail</t>
  </si>
  <si>
    <t>Transportation</t>
  </si>
  <si>
    <t>Travel</t>
  </si>
  <si>
    <t>Industry</t>
  </si>
  <si>
    <t>Amsterdam</t>
  </si>
  <si>
    <t>Austin</t>
  </si>
  <si>
    <t>Bengaluru</t>
  </si>
  <si>
    <t>Chicago</t>
  </si>
  <si>
    <t>New York City</t>
  </si>
  <si>
    <t>Phoenix</t>
  </si>
  <si>
    <t>Seattle</t>
  </si>
  <si>
    <t>SF Bay Area</t>
  </si>
  <si>
    <t>Singapore</t>
  </si>
  <si>
    <t>Stockholm</t>
  </si>
  <si>
    <t>Location</t>
  </si>
  <si>
    <t>Brazil</t>
  </si>
  <si>
    <t>Canada</t>
  </si>
  <si>
    <t>China</t>
  </si>
  <si>
    <t>Germany</t>
  </si>
  <si>
    <t>India</t>
  </si>
  <si>
    <t>Netherlands</t>
  </si>
  <si>
    <t>Sweden</t>
  </si>
  <si>
    <t>United Kingdom</t>
  </si>
  <si>
    <t>United States</t>
  </si>
  <si>
    <t>Country</t>
  </si>
  <si>
    <t>Airbnb</t>
  </si>
  <si>
    <t>Argo AI</t>
  </si>
  <si>
    <t>Bytedance</t>
  </si>
  <si>
    <t>Compass</t>
  </si>
  <si>
    <t>Delivery Hero</t>
  </si>
  <si>
    <t>Flipkart</t>
  </si>
  <si>
    <t>Getir</t>
  </si>
  <si>
    <t>Gopuff</t>
  </si>
  <si>
    <t>Grab</t>
  </si>
  <si>
    <t>Education</t>
  </si>
  <si>
    <t>Real Estate</t>
  </si>
  <si>
    <t>Berlin</t>
  </si>
  <si>
    <t>Boston</t>
  </si>
  <si>
    <t>Jakarta</t>
  </si>
  <si>
    <t>London</t>
  </si>
  <si>
    <t>Philadelphia</t>
  </si>
  <si>
    <t>Shanghai</t>
  </si>
  <si>
    <t>Indonesia</t>
  </si>
  <si>
    <t>Israel</t>
  </si>
  <si>
    <t xml:space="preserve"> </t>
  </si>
  <si>
    <t>Distinct Count of company</t>
  </si>
  <si>
    <t>Laid offs Sequence</t>
  </si>
  <si>
    <t>Fund raised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</si>
</sst>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lt;999999]&quot;$&quot;0.00,&quot; K&quot;;[&lt;999999999]&quot;$&quot;0.00,,&quot; M&quot;;&quot;$&quot;0.00,&quot; B&quot;"/>
    <numFmt numFmtId="165" formatCode="[&lt;999999]0.00,&quot; K&quot;;[&lt;999999999]0.00,,&quot; M&quot;;0.00,&quot; B&quot;"/>
    <numFmt numFmtId="166" formatCode="&quot;$&quot;0.00,&quot;B&quot;"/>
  </numFmts>
  <fonts count="3" x14ac:knownFonts="1">
    <font>
      <sz val="11"/>
      <color theme="1"/>
      <name val="Aptos Narrow"/>
      <family val="2"/>
      <scheme val="minor"/>
    </font>
    <font>
      <sz val="14"/>
      <color theme="0"/>
      <name val="Aptos Narrow"/>
      <family val="2"/>
      <scheme val="minor"/>
    </font>
    <font>
      <sz val="8"/>
      <color rgb="FF000000"/>
      <name val="Segoe UI"/>
      <family val="2"/>
    </font>
  </fonts>
  <fills count="5">
    <fill>
      <patternFill patternType="none"/>
    </fill>
    <fill>
      <patternFill patternType="gray125"/>
    </fill>
    <fill>
      <patternFill patternType="solid">
        <fgColor rgb="FFE5FBFF"/>
        <bgColor indexed="64"/>
      </patternFill>
    </fill>
    <fill>
      <patternFill patternType="solid">
        <fgColor theme="0" tint="-0.1499984740745262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3" fontId="0" fillId="0" borderId="0" xfId="0" applyNumberFormat="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0" fontId="1" fillId="4" borderId="0" xfId="0" applyFont="1" applyFill="1"/>
    <xf numFmtId="165" fontId="0" fillId="0" borderId="0" xfId="0" applyNumberFormat="1"/>
    <xf numFmtId="166" fontId="0" fillId="0" borderId="0" xfId="0" applyNumberFormat="1"/>
    <xf numFmtId="0" fontId="0" fillId="0" borderId="0" xfId="0" applyAlignment="1">
      <alignment horizontal="center"/>
    </xf>
    <xf numFmtId="0" fontId="0" fillId="3" borderId="0" xfId="0" applyFill="1" applyAlignment="1">
      <alignment horizontal="center"/>
    </xf>
  </cellXfs>
  <cellStyles count="1">
    <cellStyle name="Normal" xfId="0" builtinId="0"/>
  </cellStyles>
  <dxfs count="17">
    <dxf>
      <numFmt numFmtId="166" formatCode="&quot;$&quot;0.00,&quot;B&quot;"/>
    </dxf>
    <dxf>
      <numFmt numFmtId="0" formatCode="General"/>
    </dxf>
    <dxf>
      <numFmt numFmtId="165" formatCode="[&lt;999999]0.00,&quot; K&quot;;[&lt;999999999]0.00,,&quot; M&quot;;0.00,&quot; B&quot;"/>
    </dxf>
    <dxf>
      <numFmt numFmtId="166" formatCode="&quot;$&quot;0.00,&quot;B&quot;"/>
    </dxf>
    <dxf>
      <numFmt numFmtId="0" formatCode="General"/>
    </dxf>
    <dxf>
      <numFmt numFmtId="166" formatCode="&quot;$&quot;0.00,&quot;B&quot;"/>
    </dxf>
    <dxf>
      <numFmt numFmtId="165" formatCode="[&lt;999999]0.00,&quot; K&quot;;[&lt;999999999]0.00,,&quot; M&quot;;0.00,&quot; B&quot;"/>
    </dxf>
    <dxf>
      <numFmt numFmtId="164" formatCode="[&lt;999999]&quot;$&quot;0.00,&quot; K&quot;;[&lt;999999999]&quot;$&quot;0.00,,&quot; M&quot;;&quot;$&quot;0.00,&quot; B&quot;"/>
    </dxf>
    <dxf>
      <numFmt numFmtId="0" formatCode="General"/>
    </dxf>
    <dxf>
      <numFmt numFmtId="166" formatCode="&quot;$&quot;0.00,&quot;B&quot;"/>
    </dxf>
    <dxf>
      <numFmt numFmtId="166" formatCode="&quot;$&quot;0.00,&quot;B&quot;"/>
    </dxf>
    <dxf>
      <numFmt numFmtId="165" formatCode="[&lt;999999]0.00,&quot; K&quot;;[&lt;999999999]0.00,,&quot; M&quot;;0.00,&quot; B&quot;"/>
    </dxf>
    <dxf>
      <numFmt numFmtId="164" formatCode="[&lt;999999]&quot;$&quot;0.00,&quot; K&quot;;[&lt;999999999]&quot;$&quot;0.00,,&quot; M&quot;;&quot;$&quot;0.00,&quot; B&quot;"/>
    </dxf>
    <dxf>
      <numFmt numFmtId="166" formatCode="&quot;$&quot;0.00,&quot;B&quot;"/>
    </dxf>
    <dxf>
      <numFmt numFmtId="0" formatCode="General"/>
    </dxf>
    <dxf>
      <numFmt numFmtId="166" formatCode="&quot;$&quot;0.00,&quot;B&quot;"/>
    </dxf>
    <dxf>
      <font>
        <sz val="12"/>
        <name val="Cambria"/>
        <family val="1"/>
        <scheme val="none"/>
      </font>
      <fill>
        <patternFill>
          <bgColor theme="1"/>
        </patternFill>
      </fill>
      <border diagonalUp="0" diagonalDown="0">
        <left/>
        <right/>
        <top/>
        <bottom/>
        <vertical/>
        <horizontal/>
      </border>
    </dxf>
  </dxfs>
  <tableStyles count="1" defaultTableStyle="TableStyleMedium2" defaultPivotStyle="PivotStyleLight16">
    <tableStyle name="Slicer Style 1" pivot="0" table="0" count="5" xr9:uid="{5DDD5EDB-069D-4025-9EAB-35558CF9C1F3}">
      <tableStyleElement type="wholeTable" dxfId="16"/>
    </tableStyle>
  </tableStyles>
  <colors>
    <mruColors>
      <color rgb="FFF85252"/>
      <color rgb="FFBFBFBF"/>
      <color rgb="FFF97373"/>
      <color rgb="FF151515"/>
      <color rgb="FFE5FBFF"/>
      <color rgb="FF000000"/>
      <color rgb="FF0E3A0C"/>
      <color rgb="FF145311"/>
      <color rgb="FF952613"/>
      <color rgb="FFF5F5F5"/>
    </mruColors>
  </colors>
  <extLst>
    <ext xmlns:x14="http://schemas.microsoft.com/office/spreadsheetml/2009/9/main" uri="{46F421CA-312F-682f-3DD2-61675219B42D}">
      <x14:dxfs count="4">
        <dxf>
          <font>
            <b/>
            <i val="0"/>
            <sz val="12"/>
            <color theme="0"/>
            <name val="Cambria"/>
            <family val="1"/>
            <scheme val="none"/>
          </font>
          <fill>
            <patternFill>
              <bgColor rgb="FFF85252"/>
            </patternFill>
          </fill>
          <border diagonalUp="0" diagonalDown="0">
            <left/>
            <right/>
            <top/>
            <bottom/>
            <vertical/>
            <horizontal/>
          </border>
        </dxf>
        <dxf>
          <font>
            <b/>
            <i val="0"/>
            <sz val="12"/>
            <color theme="0"/>
            <name val="Cambria"/>
            <family val="1"/>
            <scheme val="none"/>
          </font>
          <fill>
            <patternFill>
              <bgColor theme="0" tint="-0.24994659260841701"/>
            </patternFill>
          </fill>
          <border diagonalUp="0" diagonalDown="0">
            <left/>
            <right/>
            <top/>
            <bottom/>
            <vertical/>
            <horizontal/>
          </border>
        </dxf>
        <dxf>
          <font>
            <name val="Cambria"/>
            <family val="1"/>
            <scheme val="none"/>
          </font>
          <fill>
            <patternFill>
              <bgColor rgb="FFF85252"/>
            </patternFill>
          </fill>
          <border diagonalUp="0" diagonalDown="0">
            <left/>
            <right/>
            <top/>
            <bottom/>
            <vertical/>
            <horizontal/>
          </border>
        </dxf>
        <dxf>
          <font>
            <sz val="12"/>
            <color theme="1"/>
            <name val="Cambria"/>
            <family val="1"/>
            <scheme val="none"/>
          </font>
          <fill>
            <patternFill>
              <bgColor theme="0"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4.xml"/><Relationship Id="rId51"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Analysis!$M$25</c:f>
              <c:strCache>
                <c:ptCount val="1"/>
                <c:pt idx="0">
                  <c:v>bars</c:v>
                </c:pt>
              </c:strCache>
            </c:strRef>
          </c:tx>
          <c:spPr>
            <a:solidFill>
              <a:srgbClr val="151515"/>
            </a:solidFill>
            <a:ln>
              <a:solidFill>
                <a:srgbClr val="000000"/>
              </a:solidFill>
            </a:ln>
            <a:effectLst/>
          </c:spPr>
          <c:invertIfNegative val="0"/>
          <c:val>
            <c:numRef>
              <c:f>Analysis!$M$26:$M$29</c:f>
              <c:numCache>
                <c:formatCode>[&lt;999999]"$"0.00," K";[&lt;999999999]"$"0.00,," M";"$"0.00," B"</c:formatCode>
                <c:ptCount val="4"/>
                <c:pt idx="0">
                  <c:v>67210</c:v>
                </c:pt>
                <c:pt idx="1">
                  <c:v>33754</c:v>
                </c:pt>
                <c:pt idx="2">
                  <c:v>212145</c:v>
                </c:pt>
                <c:pt idx="3">
                  <c:v>127468</c:v>
                </c:pt>
              </c:numCache>
            </c:numRef>
          </c:val>
          <c:extLst>
            <c:ext xmlns:c16="http://schemas.microsoft.com/office/drawing/2014/chart" uri="{C3380CC4-5D6E-409C-BE32-E72D297353CC}">
              <c16:uniqueId val="{00000001-7608-4B63-A249-C3DD2BEDC2DA}"/>
            </c:ext>
          </c:extLst>
        </c:ser>
        <c:ser>
          <c:idx val="2"/>
          <c:order val="2"/>
          <c:tx>
            <c:strRef>
              <c:f>Analysis!$N$25</c:f>
              <c:strCache>
                <c:ptCount val="1"/>
                <c:pt idx="0">
                  <c:v>MAX</c:v>
                </c:pt>
              </c:strCache>
            </c:strRef>
          </c:tx>
          <c:spPr>
            <a:solidFill>
              <a:schemeClr val="bg1">
                <a:lumMod val="50000"/>
              </a:schemeClr>
            </a:solidFill>
            <a:ln>
              <a:noFill/>
            </a:ln>
            <a:effectLst/>
          </c:spPr>
          <c:invertIfNegative val="0"/>
          <c:val>
            <c:numRef>
              <c:f>Analysis!$N$26:$N$29</c:f>
              <c:numCache>
                <c:formatCode>[&lt;999999]"$"0.00," K";[&lt;999999999]"$"0.00,," M";"$"0.00," B"</c:formatCode>
                <c:ptCount val="4"/>
                <c:pt idx="0">
                  <c:v>0</c:v>
                </c:pt>
                <c:pt idx="1">
                  <c:v>0</c:v>
                </c:pt>
                <c:pt idx="2">
                  <c:v>212145</c:v>
                </c:pt>
                <c:pt idx="3">
                  <c:v>0</c:v>
                </c:pt>
              </c:numCache>
            </c:numRef>
          </c:val>
          <c:extLst>
            <c:ext xmlns:c16="http://schemas.microsoft.com/office/drawing/2014/chart" uri="{C3380CC4-5D6E-409C-BE32-E72D297353CC}">
              <c16:uniqueId val="{00000002-7608-4B63-A249-C3DD2BEDC2DA}"/>
            </c:ext>
          </c:extLst>
        </c:ser>
        <c:ser>
          <c:idx val="3"/>
          <c:order val="3"/>
          <c:tx>
            <c:strRef>
              <c:f>Analysis!$O$25</c:f>
              <c:strCache>
                <c:ptCount val="1"/>
                <c:pt idx="0">
                  <c:v>MIN</c:v>
                </c:pt>
              </c:strCache>
            </c:strRef>
          </c:tx>
          <c:spPr>
            <a:solidFill>
              <a:schemeClr val="bg1">
                <a:lumMod val="50000"/>
              </a:schemeClr>
            </a:solidFill>
            <a:ln>
              <a:noFill/>
            </a:ln>
            <a:effectLst/>
          </c:spPr>
          <c:invertIfNegative val="0"/>
          <c:val>
            <c:numRef>
              <c:f>Analysis!$O$26:$O$29</c:f>
              <c:numCache>
                <c:formatCode>[&lt;999999]"$"0.00," K";[&lt;999999999]"$"0.00,," M";"$"0.00," B"</c:formatCode>
                <c:ptCount val="4"/>
                <c:pt idx="0">
                  <c:v>0</c:v>
                </c:pt>
                <c:pt idx="1">
                  <c:v>33754</c:v>
                </c:pt>
                <c:pt idx="2">
                  <c:v>0</c:v>
                </c:pt>
                <c:pt idx="3">
                  <c:v>0</c:v>
                </c:pt>
              </c:numCache>
            </c:numRef>
          </c:val>
          <c:extLst>
            <c:ext xmlns:c16="http://schemas.microsoft.com/office/drawing/2014/chart" uri="{C3380CC4-5D6E-409C-BE32-E72D297353CC}">
              <c16:uniqueId val="{00000003-7608-4B63-A249-C3DD2BEDC2DA}"/>
            </c:ext>
          </c:extLst>
        </c:ser>
        <c:dLbls>
          <c:showLegendKey val="0"/>
          <c:showVal val="0"/>
          <c:showCatName val="0"/>
          <c:showSerName val="0"/>
          <c:showPercent val="0"/>
          <c:showBubbleSize val="0"/>
        </c:dLbls>
        <c:gapWidth val="500"/>
        <c:overlap val="100"/>
        <c:axId val="212749895"/>
        <c:axId val="212748095"/>
      </c:barChart>
      <c:lineChart>
        <c:grouping val="standard"/>
        <c:varyColors val="0"/>
        <c:ser>
          <c:idx val="0"/>
          <c:order val="0"/>
          <c:tx>
            <c:strRef>
              <c:f>Analysis!$L$25</c:f>
              <c:strCache>
                <c:ptCount val="1"/>
                <c:pt idx="0">
                  <c:v>funds_raised_millions</c:v>
                </c:pt>
              </c:strCache>
            </c:strRef>
          </c:tx>
          <c:spPr>
            <a:ln w="50800" cap="rnd">
              <a:solidFill>
                <a:srgbClr val="F852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Analysis!$K$26:$K$29</c:f>
              <c:numCache>
                <c:formatCode>General</c:formatCode>
                <c:ptCount val="4"/>
                <c:pt idx="0">
                  <c:v>2020</c:v>
                </c:pt>
                <c:pt idx="1">
                  <c:v>2021</c:v>
                </c:pt>
                <c:pt idx="2">
                  <c:v>2022</c:v>
                </c:pt>
                <c:pt idx="3">
                  <c:v>2023</c:v>
                </c:pt>
              </c:numCache>
            </c:numRef>
          </c:cat>
          <c:val>
            <c:numRef>
              <c:f>Analysis!$L$26:$L$29</c:f>
              <c:numCache>
                <c:formatCode>[&lt;999999]0.00," K";[&lt;999999999]0.00,," M";0.00," B"</c:formatCode>
                <c:ptCount val="4"/>
                <c:pt idx="0">
                  <c:v>67210</c:v>
                </c:pt>
                <c:pt idx="1">
                  <c:v>33754</c:v>
                </c:pt>
                <c:pt idx="2">
                  <c:v>212145</c:v>
                </c:pt>
                <c:pt idx="3">
                  <c:v>127468</c:v>
                </c:pt>
              </c:numCache>
            </c:numRef>
          </c:val>
          <c:smooth val="1"/>
          <c:extLst>
            <c:ext xmlns:c16="http://schemas.microsoft.com/office/drawing/2014/chart" uri="{C3380CC4-5D6E-409C-BE32-E72D297353CC}">
              <c16:uniqueId val="{00000000-7608-4B63-A249-C3DD2BEDC2DA}"/>
            </c:ext>
          </c:extLst>
        </c:ser>
        <c:dLbls>
          <c:showLegendKey val="0"/>
          <c:showVal val="0"/>
          <c:showCatName val="0"/>
          <c:showSerName val="0"/>
          <c:showPercent val="0"/>
          <c:showBubbleSize val="0"/>
        </c:dLbls>
        <c:marker val="1"/>
        <c:smooth val="0"/>
        <c:axId val="212749895"/>
        <c:axId val="212748095"/>
      </c:lineChart>
      <c:catAx>
        <c:axId val="2127498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1"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crossAx val="212748095"/>
        <c:crosses val="autoZero"/>
        <c:auto val="1"/>
        <c:lblAlgn val="ctr"/>
        <c:lblOffset val="100"/>
        <c:noMultiLvlLbl val="0"/>
      </c:catAx>
      <c:valAx>
        <c:axId val="212748095"/>
        <c:scaling>
          <c:orientation val="minMax"/>
        </c:scaling>
        <c:delete val="1"/>
        <c:axPos val="l"/>
        <c:numFmt formatCode="[&lt;999999]&quot;$&quot;0.00,&quot; K&quot;;[&lt;999999999]&quot;$&quot;0.00,,&quot; M&quot;;&quot;$&quot;0.00,&quot; B&quot;" sourceLinked="1"/>
        <c:majorTickMark val="none"/>
        <c:minorTickMark val="none"/>
        <c:tickLblPos val="nextTo"/>
        <c:crossAx val="212749895"/>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Analysis!$T$25</c:f>
              <c:strCache>
                <c:ptCount val="1"/>
                <c:pt idx="0">
                  <c:v>bars</c:v>
                </c:pt>
              </c:strCache>
            </c:strRef>
          </c:tx>
          <c:spPr>
            <a:solidFill>
              <a:schemeClr val="tx1">
                <a:lumMod val="85000"/>
                <a:lumOff val="15000"/>
              </a:schemeClr>
            </a:solidFill>
            <a:ln>
              <a:noFill/>
            </a:ln>
            <a:effectLst/>
          </c:spPr>
          <c:invertIfNegative val="0"/>
          <c:val>
            <c:numRef>
              <c:f>Analysis!$T$26:$T$37</c:f>
              <c:numCache>
                <c:formatCode>[&lt;999999]"$"0.00," K";[&lt;999999999]"$"0.00,," M";"$"0.00," B"</c:formatCode>
                <c:ptCount val="12"/>
                <c:pt idx="0">
                  <c:v>77386</c:v>
                </c:pt>
                <c:pt idx="1">
                  <c:v>44729</c:v>
                </c:pt>
                <c:pt idx="2">
                  <c:v>36191</c:v>
                </c:pt>
                <c:pt idx="3">
                  <c:v>20607</c:v>
                </c:pt>
                <c:pt idx="4">
                  <c:v>29493</c:v>
                </c:pt>
                <c:pt idx="5">
                  <c:v>57366</c:v>
                </c:pt>
                <c:pt idx="6">
                  <c:v>26766</c:v>
                </c:pt>
                <c:pt idx="7">
                  <c:v>27118</c:v>
                </c:pt>
                <c:pt idx="8">
                  <c:v>15693</c:v>
                </c:pt>
                <c:pt idx="9">
                  <c:v>28026</c:v>
                </c:pt>
                <c:pt idx="10">
                  <c:v>41238</c:v>
                </c:pt>
                <c:pt idx="11">
                  <c:v>35964</c:v>
                </c:pt>
              </c:numCache>
            </c:numRef>
          </c:val>
          <c:extLst>
            <c:ext xmlns:c16="http://schemas.microsoft.com/office/drawing/2014/chart" uri="{C3380CC4-5D6E-409C-BE32-E72D297353CC}">
              <c16:uniqueId val="{00000001-EB99-4D66-934A-3D71A1B4F286}"/>
            </c:ext>
          </c:extLst>
        </c:ser>
        <c:ser>
          <c:idx val="2"/>
          <c:order val="2"/>
          <c:tx>
            <c:strRef>
              <c:f>Analysis!$U$25</c:f>
              <c:strCache>
                <c:ptCount val="1"/>
                <c:pt idx="0">
                  <c:v>MAX</c:v>
                </c:pt>
              </c:strCache>
            </c:strRef>
          </c:tx>
          <c:spPr>
            <a:solidFill>
              <a:schemeClr val="bg1">
                <a:lumMod val="50000"/>
              </a:schemeClr>
            </a:solidFill>
            <a:ln>
              <a:noFill/>
            </a:ln>
            <a:effectLst/>
          </c:spPr>
          <c:invertIfNegative val="0"/>
          <c:val>
            <c:numRef>
              <c:f>Analysis!$U$26:$U$37</c:f>
              <c:numCache>
                <c:formatCode>[&lt;999999]"$"0.00," K";[&lt;999999999]"$"0.00,," M";"$"0.00," B"</c:formatCode>
                <c:ptCount val="12"/>
                <c:pt idx="0">
                  <c:v>77386</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B99-4D66-934A-3D71A1B4F286}"/>
            </c:ext>
          </c:extLst>
        </c:ser>
        <c:ser>
          <c:idx val="3"/>
          <c:order val="3"/>
          <c:tx>
            <c:strRef>
              <c:f>Analysis!$V$25</c:f>
              <c:strCache>
                <c:ptCount val="1"/>
                <c:pt idx="0">
                  <c:v>MIN</c:v>
                </c:pt>
              </c:strCache>
            </c:strRef>
          </c:tx>
          <c:spPr>
            <a:solidFill>
              <a:schemeClr val="bg1">
                <a:lumMod val="50000"/>
              </a:schemeClr>
            </a:solidFill>
            <a:ln>
              <a:noFill/>
            </a:ln>
            <a:effectLst/>
          </c:spPr>
          <c:invertIfNegative val="0"/>
          <c:val>
            <c:numRef>
              <c:f>Analysis!$V$26:$V$37</c:f>
              <c:numCache>
                <c:formatCode>[&lt;999999]"$"0.00," K";[&lt;999999999]"$"0.00,," M";"$"0.00," B"</c:formatCode>
                <c:ptCount val="12"/>
                <c:pt idx="0">
                  <c:v>0</c:v>
                </c:pt>
                <c:pt idx="1">
                  <c:v>0</c:v>
                </c:pt>
                <c:pt idx="2">
                  <c:v>0</c:v>
                </c:pt>
                <c:pt idx="3">
                  <c:v>0</c:v>
                </c:pt>
                <c:pt idx="4">
                  <c:v>0</c:v>
                </c:pt>
                <c:pt idx="5">
                  <c:v>0</c:v>
                </c:pt>
                <c:pt idx="6">
                  <c:v>0</c:v>
                </c:pt>
                <c:pt idx="7">
                  <c:v>0</c:v>
                </c:pt>
                <c:pt idx="8">
                  <c:v>15693</c:v>
                </c:pt>
                <c:pt idx="9">
                  <c:v>0</c:v>
                </c:pt>
                <c:pt idx="10">
                  <c:v>0</c:v>
                </c:pt>
                <c:pt idx="11">
                  <c:v>0</c:v>
                </c:pt>
              </c:numCache>
            </c:numRef>
          </c:val>
          <c:extLst>
            <c:ext xmlns:c16="http://schemas.microsoft.com/office/drawing/2014/chart" uri="{C3380CC4-5D6E-409C-BE32-E72D297353CC}">
              <c16:uniqueId val="{00000004-EB99-4D66-934A-3D71A1B4F286}"/>
            </c:ext>
          </c:extLst>
        </c:ser>
        <c:dLbls>
          <c:showLegendKey val="0"/>
          <c:showVal val="0"/>
          <c:showCatName val="0"/>
          <c:showSerName val="0"/>
          <c:showPercent val="0"/>
          <c:showBubbleSize val="0"/>
        </c:dLbls>
        <c:gapWidth val="500"/>
        <c:overlap val="100"/>
        <c:axId val="1310764512"/>
        <c:axId val="1310767752"/>
      </c:barChart>
      <c:lineChart>
        <c:grouping val="standard"/>
        <c:varyColors val="0"/>
        <c:ser>
          <c:idx val="0"/>
          <c:order val="0"/>
          <c:tx>
            <c:strRef>
              <c:f>Analysis!$S$25</c:f>
              <c:strCache>
                <c:ptCount val="1"/>
                <c:pt idx="0">
                  <c:v>funds_raised_millions</c:v>
                </c:pt>
              </c:strCache>
            </c:strRef>
          </c:tx>
          <c:spPr>
            <a:ln w="34925" cap="rnd">
              <a:solidFill>
                <a:srgbClr val="F852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Analysis!$R$26:$R$37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Analysis!$S$26:$S$37</c:f>
              <c:numCache>
                <c:formatCode>General</c:formatCode>
                <c:ptCount val="12"/>
                <c:pt idx="0">
                  <c:v>77386</c:v>
                </c:pt>
                <c:pt idx="1">
                  <c:v>44729</c:v>
                </c:pt>
                <c:pt idx="2">
                  <c:v>36191</c:v>
                </c:pt>
                <c:pt idx="3">
                  <c:v>20607</c:v>
                </c:pt>
                <c:pt idx="4">
                  <c:v>29493</c:v>
                </c:pt>
                <c:pt idx="5">
                  <c:v>57366</c:v>
                </c:pt>
                <c:pt idx="6">
                  <c:v>26766</c:v>
                </c:pt>
                <c:pt idx="7">
                  <c:v>27118</c:v>
                </c:pt>
                <c:pt idx="8">
                  <c:v>15693</c:v>
                </c:pt>
                <c:pt idx="9">
                  <c:v>28026</c:v>
                </c:pt>
                <c:pt idx="10">
                  <c:v>41238</c:v>
                </c:pt>
                <c:pt idx="11">
                  <c:v>35964</c:v>
                </c:pt>
              </c:numCache>
            </c:numRef>
          </c:val>
          <c:smooth val="1"/>
          <c:extLst>
            <c:ext xmlns:c16="http://schemas.microsoft.com/office/drawing/2014/chart" uri="{C3380CC4-5D6E-409C-BE32-E72D297353CC}">
              <c16:uniqueId val="{00000000-EB99-4D66-934A-3D71A1B4F286}"/>
            </c:ext>
          </c:extLst>
        </c:ser>
        <c:dLbls>
          <c:dLblPos val="t"/>
          <c:showLegendKey val="0"/>
          <c:showVal val="1"/>
          <c:showCatName val="0"/>
          <c:showSerName val="0"/>
          <c:showPercent val="0"/>
          <c:showBubbleSize val="0"/>
        </c:dLbls>
        <c:marker val="1"/>
        <c:smooth val="0"/>
        <c:axId val="1310764512"/>
        <c:axId val="1310767752"/>
      </c:lineChart>
      <c:catAx>
        <c:axId val="13107645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crossAx val="1310767752"/>
        <c:crosses val="autoZero"/>
        <c:auto val="1"/>
        <c:lblAlgn val="ctr"/>
        <c:lblOffset val="100"/>
        <c:noMultiLvlLbl val="0"/>
      </c:catAx>
      <c:valAx>
        <c:axId val="1310767752"/>
        <c:scaling>
          <c:orientation val="minMax"/>
        </c:scaling>
        <c:delete val="1"/>
        <c:axPos val="l"/>
        <c:numFmt formatCode="[&lt;999999]&quot;$&quot;0.00,&quot; K&quot;;[&lt;999999999]&quot;$&quot;0.00,,&quot; M&quot;;&quot;$&quot;0.00,&quot; B&quot;" sourceLinked="1"/>
        <c:majorTickMark val="none"/>
        <c:minorTickMark val="none"/>
        <c:tickLblPos val="nextTo"/>
        <c:crossAx val="1310764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666671756940444E-2"/>
          <c:y val="0.13348725477111972"/>
          <c:w val="0.94666665648611914"/>
          <c:h val="0.57123567181220991"/>
        </c:manualLayout>
      </c:layout>
      <c:barChart>
        <c:barDir val="col"/>
        <c:grouping val="clustered"/>
        <c:varyColors val="0"/>
        <c:ser>
          <c:idx val="0"/>
          <c:order val="0"/>
          <c:tx>
            <c:strRef>
              <c:f>Analysis!$AP$17</c:f>
              <c:strCache>
                <c:ptCount val="1"/>
                <c:pt idx="0">
                  <c:v>Total Laid Off</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Analysis!$AO$18:$AO$27</c:f>
              <c:strCache>
                <c:ptCount val="10"/>
                <c:pt idx="0">
                  <c:v>Amazon</c:v>
                </c:pt>
                <c:pt idx="1">
                  <c:v>Byju's</c:v>
                </c:pt>
                <c:pt idx="2">
                  <c:v>Dell</c:v>
                </c:pt>
                <c:pt idx="3">
                  <c:v>Ericsson</c:v>
                </c:pt>
                <c:pt idx="4">
                  <c:v>Google</c:v>
                </c:pt>
                <c:pt idx="5">
                  <c:v>IBM</c:v>
                </c:pt>
                <c:pt idx="6">
                  <c:v>Better.com</c:v>
                </c:pt>
                <c:pt idx="7">
                  <c:v>Booking.com</c:v>
                </c:pt>
                <c:pt idx="8">
                  <c:v>Carvana</c:v>
                </c:pt>
                <c:pt idx="9">
                  <c:v>Cisco</c:v>
                </c:pt>
              </c:strCache>
            </c:strRef>
          </c:cat>
          <c:val>
            <c:numRef>
              <c:f>Analysis!$AP$18:$AP$27</c:f>
              <c:numCache>
                <c:formatCode>[&lt;999999]0.00," K";[&lt;999999999]0.00,," M";0.00," B"</c:formatCode>
                <c:ptCount val="10"/>
                <c:pt idx="0">
                  <c:v>18150</c:v>
                </c:pt>
                <c:pt idx="1">
                  <c:v>4000</c:v>
                </c:pt>
                <c:pt idx="2">
                  <c:v>6650</c:v>
                </c:pt>
                <c:pt idx="3">
                  <c:v>8500</c:v>
                </c:pt>
                <c:pt idx="4">
                  <c:v>12000</c:v>
                </c:pt>
                <c:pt idx="5">
                  <c:v>3900</c:v>
                </c:pt>
                <c:pt idx="6">
                  <c:v>3900</c:v>
                </c:pt>
                <c:pt idx="7">
                  <c:v>4601</c:v>
                </c:pt>
                <c:pt idx="8">
                  <c:v>4000</c:v>
                </c:pt>
                <c:pt idx="9">
                  <c:v>4100</c:v>
                </c:pt>
              </c:numCache>
            </c:numRef>
          </c:val>
          <c:extLst>
            <c:ext xmlns:c16="http://schemas.microsoft.com/office/drawing/2014/chart" uri="{C3380CC4-5D6E-409C-BE32-E72D297353CC}">
              <c16:uniqueId val="{00000000-1177-4CD6-8741-2DED3733254D}"/>
            </c:ext>
          </c:extLst>
        </c:ser>
        <c:ser>
          <c:idx val="1"/>
          <c:order val="1"/>
          <c:tx>
            <c:strRef>
              <c:f>Analysis!$AQ$17</c:f>
              <c:strCache>
                <c:ptCount val="1"/>
                <c:pt idx="0">
                  <c:v>MAX</c:v>
                </c:pt>
              </c:strCache>
            </c:strRef>
          </c:tx>
          <c:spPr>
            <a:solidFill>
              <a:schemeClr val="bg1">
                <a:lumMod val="65000"/>
              </a:schemeClr>
            </a:solidFill>
            <a:ln>
              <a:noFill/>
            </a:ln>
            <a:effectLst/>
          </c:spPr>
          <c:invertIfNegative val="0"/>
          <c:val>
            <c:numRef>
              <c:f>Analysis!$AQ$18:$AQ$27</c:f>
              <c:numCache>
                <c:formatCode>[&lt;999999]0.00," K";[&lt;999999999]0.00,," M";0.00," B"</c:formatCode>
                <c:ptCount val="10"/>
                <c:pt idx="0">
                  <c:v>18150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177-4CD6-8741-2DED3733254D}"/>
            </c:ext>
          </c:extLst>
        </c:ser>
        <c:ser>
          <c:idx val="2"/>
          <c:order val="2"/>
          <c:tx>
            <c:strRef>
              <c:f>Analysis!$AR$17</c:f>
              <c:strCache>
                <c:ptCount val="1"/>
                <c:pt idx="0">
                  <c:v>MIN</c:v>
                </c:pt>
              </c:strCache>
            </c:strRef>
          </c:tx>
          <c:spPr>
            <a:solidFill>
              <a:srgbClr val="F85252"/>
            </a:solidFill>
            <a:ln>
              <a:noFill/>
            </a:ln>
            <a:effectLst/>
          </c:spPr>
          <c:invertIfNegative val="0"/>
          <c:val>
            <c:numRef>
              <c:f>Analysis!$AR$18:$AR$27</c:f>
              <c:numCache>
                <c:formatCode>[&lt;999999]0.00," K";[&lt;999999999]0.00,," M";0.00," B"</c:formatCode>
                <c:ptCount val="10"/>
                <c:pt idx="0">
                  <c:v>0</c:v>
                </c:pt>
                <c:pt idx="1">
                  <c:v>0</c:v>
                </c:pt>
                <c:pt idx="2">
                  <c:v>0</c:v>
                </c:pt>
                <c:pt idx="3">
                  <c:v>0</c:v>
                </c:pt>
                <c:pt idx="4">
                  <c:v>0</c:v>
                </c:pt>
                <c:pt idx="5">
                  <c:v>3900</c:v>
                </c:pt>
                <c:pt idx="6">
                  <c:v>3900</c:v>
                </c:pt>
                <c:pt idx="7">
                  <c:v>0</c:v>
                </c:pt>
                <c:pt idx="8">
                  <c:v>0</c:v>
                </c:pt>
                <c:pt idx="9">
                  <c:v>0</c:v>
                </c:pt>
              </c:numCache>
            </c:numRef>
          </c:val>
          <c:extLst>
            <c:ext xmlns:c16="http://schemas.microsoft.com/office/drawing/2014/chart" uri="{C3380CC4-5D6E-409C-BE32-E72D297353CC}">
              <c16:uniqueId val="{00000003-1177-4CD6-8741-2DED3733254D}"/>
            </c:ext>
          </c:extLst>
        </c:ser>
        <c:dLbls>
          <c:showLegendKey val="0"/>
          <c:showVal val="0"/>
          <c:showCatName val="0"/>
          <c:showSerName val="0"/>
          <c:showPercent val="0"/>
          <c:showBubbleSize val="0"/>
        </c:dLbls>
        <c:gapWidth val="279"/>
        <c:overlap val="100"/>
        <c:axId val="587458416"/>
        <c:axId val="587457336"/>
      </c:barChart>
      <c:catAx>
        <c:axId val="5874584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defRPr>
            </a:pPr>
            <a:endParaRPr lang="en-US"/>
          </a:p>
        </c:txPr>
        <c:crossAx val="587457336"/>
        <c:crosses val="autoZero"/>
        <c:auto val="1"/>
        <c:lblAlgn val="ctr"/>
        <c:lblOffset val="100"/>
        <c:noMultiLvlLbl val="0"/>
      </c:catAx>
      <c:valAx>
        <c:axId val="587457336"/>
        <c:scaling>
          <c:orientation val="minMax"/>
        </c:scaling>
        <c:delete val="1"/>
        <c:axPos val="l"/>
        <c:numFmt formatCode="[&lt;999999]0.00,&quot; K&quot;;[&lt;999999999]0.00,,&quot; M&quot;;0.00,&quot; B&quot;" sourceLinked="1"/>
        <c:majorTickMark val="none"/>
        <c:minorTickMark val="none"/>
        <c:tickLblPos val="nextTo"/>
        <c:crossAx val="587458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378896882494004E-2"/>
          <c:y val="0.18068754992582448"/>
          <c:w val="0.94724220623501199"/>
          <c:h val="0.57794819125870134"/>
        </c:manualLayout>
      </c:layout>
      <c:barChart>
        <c:barDir val="col"/>
        <c:grouping val="clustered"/>
        <c:varyColors val="0"/>
        <c:ser>
          <c:idx val="0"/>
          <c:order val="0"/>
          <c:tx>
            <c:strRef>
              <c:f>Analysis!$AP$45</c:f>
              <c:strCache>
                <c:ptCount val="1"/>
                <c:pt idx="0">
                  <c:v>Total Funds</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Analysis!$AO$46:$AO$55</c:f>
              <c:strCache>
                <c:ptCount val="10"/>
                <c:pt idx="0">
                  <c:v>Bytedance</c:v>
                </c:pt>
                <c:pt idx="1">
                  <c:v>Delivery Hero</c:v>
                </c:pt>
                <c:pt idx="2">
                  <c:v>Byju's</c:v>
                </c:pt>
                <c:pt idx="3">
                  <c:v>Airbnb</c:v>
                </c:pt>
                <c:pt idx="4">
                  <c:v>Flipkart</c:v>
                </c:pt>
                <c:pt idx="5">
                  <c:v>Getir</c:v>
                </c:pt>
                <c:pt idx="6">
                  <c:v>Argo AI</c:v>
                </c:pt>
                <c:pt idx="7">
                  <c:v>Compass</c:v>
                </c:pt>
                <c:pt idx="8">
                  <c:v>Gopuff</c:v>
                </c:pt>
                <c:pt idx="9">
                  <c:v>Grab</c:v>
                </c:pt>
              </c:strCache>
            </c:strRef>
          </c:cat>
          <c:val>
            <c:numRef>
              <c:f>Analysis!$AP$46:$AP$55</c:f>
              <c:numCache>
                <c:formatCode>"$"0.00,"B"</c:formatCode>
                <c:ptCount val="10"/>
                <c:pt idx="0">
                  <c:v>35600</c:v>
                </c:pt>
                <c:pt idx="1">
                  <c:v>26500</c:v>
                </c:pt>
                <c:pt idx="2">
                  <c:v>11000</c:v>
                </c:pt>
                <c:pt idx="3">
                  <c:v>11800</c:v>
                </c:pt>
                <c:pt idx="4">
                  <c:v>12900</c:v>
                </c:pt>
                <c:pt idx="5">
                  <c:v>5400</c:v>
                </c:pt>
                <c:pt idx="6">
                  <c:v>14400</c:v>
                </c:pt>
                <c:pt idx="7">
                  <c:v>6400</c:v>
                </c:pt>
                <c:pt idx="8">
                  <c:v>13600</c:v>
                </c:pt>
                <c:pt idx="9">
                  <c:v>9900</c:v>
                </c:pt>
              </c:numCache>
            </c:numRef>
          </c:val>
          <c:extLst>
            <c:ext xmlns:c16="http://schemas.microsoft.com/office/drawing/2014/chart" uri="{C3380CC4-5D6E-409C-BE32-E72D297353CC}">
              <c16:uniqueId val="{00000000-86B4-4082-A31A-A55F9402F310}"/>
            </c:ext>
          </c:extLst>
        </c:ser>
        <c:ser>
          <c:idx val="1"/>
          <c:order val="1"/>
          <c:tx>
            <c:strRef>
              <c:f>Analysis!$AQ$45</c:f>
              <c:strCache>
                <c:ptCount val="1"/>
                <c:pt idx="0">
                  <c:v>MAX</c:v>
                </c:pt>
              </c:strCache>
            </c:strRef>
          </c:tx>
          <c:spPr>
            <a:solidFill>
              <a:schemeClr val="bg1">
                <a:lumMod val="65000"/>
              </a:schemeClr>
            </a:solidFill>
            <a:ln>
              <a:noFill/>
            </a:ln>
            <a:effectLst/>
          </c:spPr>
          <c:invertIfNegative val="0"/>
          <c:val>
            <c:numRef>
              <c:f>Analysis!$AQ$46:$AQ$55</c:f>
              <c:numCache>
                <c:formatCode>[&lt;999999]"$"0.00," K";[&lt;999999999]"$"0.00,," M";"$"0.00," B"</c:formatCode>
                <c:ptCount val="10"/>
                <c:pt idx="0">
                  <c:v>35600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86B4-4082-A31A-A55F9402F310}"/>
            </c:ext>
          </c:extLst>
        </c:ser>
        <c:ser>
          <c:idx val="2"/>
          <c:order val="2"/>
          <c:tx>
            <c:strRef>
              <c:f>Analysis!$AR$45</c:f>
              <c:strCache>
                <c:ptCount val="1"/>
                <c:pt idx="0">
                  <c:v>MIN</c:v>
                </c:pt>
              </c:strCache>
            </c:strRef>
          </c:tx>
          <c:spPr>
            <a:solidFill>
              <a:srgbClr val="F85252"/>
            </a:solidFill>
            <a:ln>
              <a:noFill/>
            </a:ln>
            <a:effectLst/>
          </c:spPr>
          <c:invertIfNegative val="0"/>
          <c:val>
            <c:numRef>
              <c:f>Analysis!$AR$46:$AR$55</c:f>
              <c:numCache>
                <c:formatCode>[&lt;999999]"$"0.00," K";[&lt;999999999]"$"0.00,," M";"$"0.00," B"</c:formatCode>
                <c:ptCount val="10"/>
                <c:pt idx="0">
                  <c:v>0</c:v>
                </c:pt>
                <c:pt idx="1">
                  <c:v>0</c:v>
                </c:pt>
                <c:pt idx="2">
                  <c:v>0</c:v>
                </c:pt>
                <c:pt idx="3">
                  <c:v>0</c:v>
                </c:pt>
                <c:pt idx="4">
                  <c:v>0</c:v>
                </c:pt>
                <c:pt idx="5">
                  <c:v>5400</c:v>
                </c:pt>
                <c:pt idx="6">
                  <c:v>0</c:v>
                </c:pt>
                <c:pt idx="7">
                  <c:v>0</c:v>
                </c:pt>
                <c:pt idx="8">
                  <c:v>0</c:v>
                </c:pt>
                <c:pt idx="9">
                  <c:v>0</c:v>
                </c:pt>
              </c:numCache>
            </c:numRef>
          </c:val>
          <c:extLst>
            <c:ext xmlns:c16="http://schemas.microsoft.com/office/drawing/2014/chart" uri="{C3380CC4-5D6E-409C-BE32-E72D297353CC}">
              <c16:uniqueId val="{00000002-86B4-4082-A31A-A55F9402F310}"/>
            </c:ext>
          </c:extLst>
        </c:ser>
        <c:dLbls>
          <c:showLegendKey val="0"/>
          <c:showVal val="0"/>
          <c:showCatName val="0"/>
          <c:showSerName val="0"/>
          <c:showPercent val="0"/>
          <c:showBubbleSize val="0"/>
        </c:dLbls>
        <c:gapWidth val="219"/>
        <c:overlap val="100"/>
        <c:axId val="376976872"/>
        <c:axId val="376975072"/>
      </c:barChart>
      <c:catAx>
        <c:axId val="376976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defRPr>
            </a:pPr>
            <a:endParaRPr lang="en-US"/>
          </a:p>
        </c:txPr>
        <c:crossAx val="376975072"/>
        <c:crosses val="autoZero"/>
        <c:auto val="1"/>
        <c:lblAlgn val="ctr"/>
        <c:lblOffset val="100"/>
        <c:noMultiLvlLbl val="0"/>
      </c:catAx>
      <c:valAx>
        <c:axId val="376975072"/>
        <c:scaling>
          <c:orientation val="minMax"/>
        </c:scaling>
        <c:delete val="1"/>
        <c:axPos val="l"/>
        <c:numFmt formatCode="&quot;$&quot;0.00,&quot;B&quot;" sourceLinked="1"/>
        <c:majorTickMark val="none"/>
        <c:minorTickMark val="none"/>
        <c:tickLblPos val="nextTo"/>
        <c:crossAx val="376976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[laidoffdashboard.xlsx]Analysis!PivotTable3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8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0.12089658621834447"/>
              <c:y val="-8.934707903780071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8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85252"/>
          </a:solidFill>
          <a:ln w="19050">
            <a:noFill/>
          </a:ln>
          <a:effectLst/>
        </c:spPr>
        <c:dLbl>
          <c:idx val="0"/>
          <c:layout>
            <c:manualLayout>
              <c:x val="-0.13600865949563753"/>
              <c:y val="0.1030927835051545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8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85252"/>
          </a:solidFill>
          <a:ln w="19050">
            <a:noFill/>
          </a:ln>
          <a:effectLst/>
        </c:spPr>
        <c:dLbl>
          <c:idx val="0"/>
          <c:layout>
            <c:manualLayout>
              <c:x val="-0.10326583406150261"/>
              <c:y val="-2.061855670103094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8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305251187646337"/>
                  <c:h val="0.24625429553264602"/>
                </c:manualLayout>
              </c15:layout>
            </c:ext>
          </c:extLst>
        </c:dLbl>
      </c:pivotFmt>
    </c:pivotFmts>
    <c:plotArea>
      <c:layout/>
      <c:doughnutChart>
        <c:varyColors val="1"/>
        <c:ser>
          <c:idx val="0"/>
          <c:order val="0"/>
          <c:tx>
            <c:strRef>
              <c:f>Analysis!$G$9</c:f>
              <c:strCache>
                <c:ptCount val="1"/>
                <c:pt idx="0">
                  <c:v>Total</c:v>
                </c:pt>
              </c:strCache>
            </c:strRef>
          </c:tx>
          <c:spPr>
            <a:solidFill>
              <a:schemeClr val="accent1"/>
            </a:solidFill>
            <a:ln>
              <a:noFill/>
            </a:ln>
          </c:spPr>
          <c:dPt>
            <c:idx val="0"/>
            <c:bubble3D val="0"/>
            <c:spPr>
              <a:solidFill>
                <a:srgbClr val="F85252"/>
              </a:solidFill>
              <a:ln w="19050">
                <a:noFill/>
              </a:ln>
              <a:effectLst/>
            </c:spPr>
            <c:extLst>
              <c:ext xmlns:c16="http://schemas.microsoft.com/office/drawing/2014/chart" uri="{C3380CC4-5D6E-409C-BE32-E72D297353CC}">
                <c16:uniqueId val="{00000001-6504-4A6E-A04E-5F65129EFCB6}"/>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6504-4A6E-A04E-5F65129EFCB6}"/>
              </c:ext>
            </c:extLst>
          </c:dPt>
          <c:dLbls>
            <c:dLbl>
              <c:idx val="0"/>
              <c:layout>
                <c:manualLayout>
                  <c:x val="-0.13600865949563753"/>
                  <c:y val="0.1030927835051545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04-4A6E-A04E-5F65129EFCB6}"/>
                </c:ext>
              </c:extLst>
            </c:dLbl>
            <c:dLbl>
              <c:idx val="1"/>
              <c:layout>
                <c:manualLayout>
                  <c:x val="0.12089658621834447"/>
                  <c:y val="-8.93470790378007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04-4A6E-A04E-5F65129EFCB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8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Analysis!$F$10:$F$11</c:f>
              <c:strCache>
                <c:ptCount val="2"/>
                <c:pt idx="0">
                  <c:v>ON</c:v>
                </c:pt>
                <c:pt idx="1">
                  <c:v>OFF</c:v>
                </c:pt>
              </c:strCache>
            </c:strRef>
          </c:cat>
          <c:val>
            <c:numRef>
              <c:f>Analysis!$G$10:$G$11</c:f>
              <c:numCache>
                <c:formatCode>General</c:formatCode>
                <c:ptCount val="2"/>
                <c:pt idx="0">
                  <c:v>750</c:v>
                </c:pt>
                <c:pt idx="1">
                  <c:v>64</c:v>
                </c:pt>
              </c:numCache>
            </c:numRef>
          </c:val>
          <c:extLst>
            <c:ext xmlns:c16="http://schemas.microsoft.com/office/drawing/2014/chart" uri="{C3380CC4-5D6E-409C-BE32-E72D297353CC}">
              <c16:uniqueId val="{00000004-6504-4A6E-A04E-5F65129EFCB6}"/>
            </c:ext>
          </c:extLst>
        </c:ser>
        <c:dLbls>
          <c:showLegendKey val="0"/>
          <c:showVal val="1"/>
          <c:showCatName val="0"/>
          <c:showSerName val="0"/>
          <c:showPercent val="0"/>
          <c:showBubbleSize val="0"/>
          <c:showLeaderLines val="0"/>
        </c:dLbls>
        <c:firstSliceAng val="67"/>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[laidoffdashboard.xlsx]Analysis!PivotTable2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85000"/>
            </a:schemeClr>
          </a:solidFill>
          <a:ln w="19050">
            <a:noFill/>
          </a:ln>
          <a:effectLst/>
        </c:spPr>
        <c:dLbl>
          <c:idx val="0"/>
          <c:layout>
            <c:manualLayout>
              <c:x val="0.18644905252979921"/>
              <c:y val="0.16988966426590041"/>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85252"/>
          </a:solidFill>
          <a:ln w="19050">
            <a:noFill/>
          </a:ln>
          <a:effectLst/>
        </c:spPr>
        <c:dLbl>
          <c:idx val="0"/>
          <c:layout>
            <c:manualLayout>
              <c:x val="-0.23080822671593962"/>
              <c:y val="-0.19664589319699971"/>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Analysis!$D$9</c:f>
              <c:strCache>
                <c:ptCount val="1"/>
                <c:pt idx="0">
                  <c:v>Total</c:v>
                </c:pt>
              </c:strCache>
            </c:strRef>
          </c:tx>
          <c:spPr>
            <a:solidFill>
              <a:schemeClr val="accent1"/>
            </a:solidFill>
            <a:ln>
              <a:noFill/>
            </a:ln>
          </c:spPr>
          <c:dPt>
            <c:idx val="0"/>
            <c:bubble3D val="0"/>
            <c:explosion val="15"/>
            <c:spPr>
              <a:solidFill>
                <a:srgbClr val="F85252"/>
              </a:solidFill>
              <a:ln w="19050">
                <a:noFill/>
              </a:ln>
              <a:effectLst/>
            </c:spPr>
            <c:extLst>
              <c:ext xmlns:c16="http://schemas.microsoft.com/office/drawing/2014/chart" uri="{C3380CC4-5D6E-409C-BE32-E72D297353CC}">
                <c16:uniqueId val="{00000001-E7CE-4FBC-90AC-AFCF31FCCE4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7CE-4FBC-90AC-AFCF31FCCE4B}"/>
              </c:ext>
            </c:extLst>
          </c:dPt>
          <c:dLbls>
            <c:dLbl>
              <c:idx val="0"/>
              <c:layout>
                <c:manualLayout>
                  <c:x val="-0.23080822671593962"/>
                  <c:y val="-0.1966458931969997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CE-4FBC-90AC-AFCF31FCCE4B}"/>
                </c:ext>
              </c:extLst>
            </c:dLbl>
            <c:dLbl>
              <c:idx val="1"/>
              <c:layout>
                <c:manualLayout>
                  <c:x val="0.18644905252979921"/>
                  <c:y val="0.1698896642659004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CE-4FBC-90AC-AFCF31FCCE4B}"/>
                </c:ext>
              </c:extLst>
            </c:dLbl>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Analysis!$C$10:$C$11</c:f>
              <c:strCache>
                <c:ptCount val="2"/>
                <c:pt idx="0">
                  <c:v>ON</c:v>
                </c:pt>
                <c:pt idx="1">
                  <c:v>OFF</c:v>
                </c:pt>
              </c:strCache>
            </c:strRef>
          </c:cat>
          <c:val>
            <c:numRef>
              <c:f>Analysis!$D$10:$D$11</c:f>
              <c:numCache>
                <c:formatCode>General</c:formatCode>
                <c:ptCount val="2"/>
                <c:pt idx="0">
                  <c:v>587</c:v>
                </c:pt>
                <c:pt idx="1">
                  <c:v>278</c:v>
                </c:pt>
              </c:numCache>
            </c:numRef>
          </c:val>
          <c:extLst>
            <c:ext xmlns:c16="http://schemas.microsoft.com/office/drawing/2014/chart" uri="{C3380CC4-5D6E-409C-BE32-E72D297353CC}">
              <c16:uniqueId val="{00000004-E7CE-4FBC-90AC-AFCF31FCCE4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M$20"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3" Type="http://schemas.microsoft.com/office/2007/relationships/hdphoto" Target="../media/hdphoto1.wdp"/><Relationship Id="rId7" Type="http://schemas.openxmlformats.org/officeDocument/2006/relationships/hyperlink" Target="#Insights!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shboard!A1"/><Relationship Id="rId5" Type="http://schemas.microsoft.com/office/2007/relationships/hdphoto" Target="../media/hdphoto2.wdp"/><Relationship Id="rId4" Type="http://schemas.openxmlformats.org/officeDocument/2006/relationships/image" Target="../media/image3.png"/><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Analysis!A1"/><Relationship Id="rId3" Type="http://schemas.openxmlformats.org/officeDocument/2006/relationships/chart" Target="../charts/chart3.xml"/><Relationship Id="rId7" Type="http://schemas.openxmlformats.org/officeDocument/2006/relationships/hyperlink" Target="#Home!A1"/><Relationship Id="rId12" Type="http://schemas.microsoft.com/office/2007/relationships/hdphoto" Target="../media/hdphoto4.wdp"/><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microsoft.com/office/2007/relationships/hdphoto" Target="../media/hdphoto5.wdp"/><Relationship Id="rId10" Type="http://schemas.openxmlformats.org/officeDocument/2006/relationships/hyperlink" Target="#Insights!A1"/><Relationship Id="rId4" Type="http://schemas.openxmlformats.org/officeDocument/2006/relationships/chart" Target="../charts/chart4.xml"/><Relationship Id="rId9" Type="http://schemas.microsoft.com/office/2007/relationships/hdphoto" Target="../media/hdphoto3.wdp"/><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microsoft.com/office/2007/relationships/hdphoto" Target="../media/hdphoto5.wdp"/><Relationship Id="rId13" Type="http://schemas.microsoft.com/office/2007/relationships/hdphoto" Target="../media/hdphoto7.wdp"/><Relationship Id="rId3" Type="http://schemas.microsoft.com/office/2007/relationships/hdphoto" Target="../media/hdphoto3.wdp"/><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5.png"/><Relationship Id="rId1" Type="http://schemas.openxmlformats.org/officeDocument/2006/relationships/hyperlink" Target="#Home!A1"/><Relationship Id="rId6" Type="http://schemas.openxmlformats.org/officeDocument/2006/relationships/hyperlink" Target="#Analysis!A1"/><Relationship Id="rId11" Type="http://schemas.openxmlformats.org/officeDocument/2006/relationships/hyperlink" Target="#Dashboard!A1"/><Relationship Id="rId5" Type="http://schemas.microsoft.com/office/2007/relationships/hdphoto" Target="../media/hdphoto4.wdp"/><Relationship Id="rId10" Type="http://schemas.microsoft.com/office/2007/relationships/hdphoto" Target="../media/hdphoto6.wdp"/><Relationship Id="rId4" Type="http://schemas.openxmlformats.org/officeDocument/2006/relationships/image" Target="../media/image10.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xdr:col>
      <xdr:colOff>257175</xdr:colOff>
      <xdr:row>3</xdr:row>
      <xdr:rowOff>114300</xdr:rowOff>
    </xdr:from>
    <xdr:to>
      <xdr:col>26</xdr:col>
      <xdr:colOff>57150</xdr:colOff>
      <xdr:row>43</xdr:row>
      <xdr:rowOff>85725</xdr:rowOff>
    </xdr:to>
    <xdr:sp macro="" textlink="">
      <xdr:nvSpPr>
        <xdr:cNvPr id="2" name="Rectangle: Rounded Corners 1">
          <a:extLst>
            <a:ext uri="{FF2B5EF4-FFF2-40B4-BE49-F238E27FC236}">
              <a16:creationId xmlns:a16="http://schemas.microsoft.com/office/drawing/2014/main" id="{1BDDB183-69C1-4F44-8882-C677ECB9CC26}"/>
            </a:ext>
          </a:extLst>
        </xdr:cNvPr>
        <xdr:cNvSpPr/>
      </xdr:nvSpPr>
      <xdr:spPr>
        <a:xfrm>
          <a:off x="866775" y="685800"/>
          <a:ext cx="15039975" cy="7591425"/>
        </a:xfrm>
        <a:prstGeom prst="roundRect">
          <a:avLst>
            <a:gd name="adj" fmla="val 219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8</xdr:row>
      <xdr:rowOff>66675</xdr:rowOff>
    </xdr:from>
    <xdr:to>
      <xdr:col>15</xdr:col>
      <xdr:colOff>514350</xdr:colOff>
      <xdr:row>12</xdr:row>
      <xdr:rowOff>38100</xdr:rowOff>
    </xdr:to>
    <xdr:sp macro="" textlink="Analysis!M34">
      <xdr:nvSpPr>
        <xdr:cNvPr id="3096" name="TextBox 3095">
          <a:extLst>
            <a:ext uri="{FF2B5EF4-FFF2-40B4-BE49-F238E27FC236}">
              <a16:creationId xmlns:a16="http://schemas.microsoft.com/office/drawing/2014/main" id="{F88C761D-0CBA-4AD2-8A9A-173A4B319FF9}"/>
            </a:ext>
          </a:extLst>
        </xdr:cNvPr>
        <xdr:cNvSpPr txBox="1"/>
      </xdr:nvSpPr>
      <xdr:spPr>
        <a:xfrm>
          <a:off x="1485900" y="1590675"/>
          <a:ext cx="817245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a:solidFill>
                <a:srgbClr val="F85252"/>
              </a:solidFill>
              <a:latin typeface="Cambria" panose="02040503050406030204" pitchFamily="18" charset="0"/>
              <a:ea typeface="Cambria" panose="02040503050406030204" pitchFamily="18" charset="0"/>
            </a:rPr>
            <a:t>Global Workforce Layoff Intelligence Dashboard</a:t>
          </a:r>
          <a:endParaRPr lang="en-US" sz="2800" b="1" i="0" u="none" strike="noStrike">
            <a:solidFill>
              <a:srgbClr val="F85252"/>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2</xdr:col>
      <xdr:colOff>266700</xdr:colOff>
      <xdr:row>12</xdr:row>
      <xdr:rowOff>57150</xdr:rowOff>
    </xdr:from>
    <xdr:to>
      <xdr:col>15</xdr:col>
      <xdr:colOff>200025</xdr:colOff>
      <xdr:row>30</xdr:row>
      <xdr:rowOff>114300</xdr:rowOff>
    </xdr:to>
    <xdr:sp macro="" textlink="">
      <xdr:nvSpPr>
        <xdr:cNvPr id="3098" name="TextBox 3097">
          <a:extLst>
            <a:ext uri="{FF2B5EF4-FFF2-40B4-BE49-F238E27FC236}">
              <a16:creationId xmlns:a16="http://schemas.microsoft.com/office/drawing/2014/main" id="{10E59D2E-C053-7A09-EDF1-8FFE87D32D09}"/>
            </a:ext>
          </a:extLst>
        </xdr:cNvPr>
        <xdr:cNvSpPr txBox="1"/>
      </xdr:nvSpPr>
      <xdr:spPr>
        <a:xfrm>
          <a:off x="1485900" y="2343150"/>
          <a:ext cx="7858125" cy="348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a:solidFill>
                <a:schemeClr val="bg1">
                  <a:lumMod val="85000"/>
                </a:schemeClr>
              </a:solidFill>
              <a:latin typeface="Cambria" panose="02040503050406030204" pitchFamily="18" charset="0"/>
              <a:ea typeface="Cambria" panose="02040503050406030204" pitchFamily="18" charset="0"/>
            </a:rPr>
            <a:t>This dashboard analyzes global layoff patterns across industries, funding stages, and geographies to uncover hidden workforce risks, emerging trends, and decision signals. It helps leaders move from reactive layoffs to proactive workforce planning using data-driven insights.</a:t>
          </a:r>
        </a:p>
        <a:p>
          <a:pPr algn="l"/>
          <a:endParaRPr lang="en-US" sz="1500">
            <a:solidFill>
              <a:schemeClr val="bg1">
                <a:lumMod val="85000"/>
              </a:schemeClr>
            </a:solidFill>
            <a:latin typeface="Cambria" panose="02040503050406030204" pitchFamily="18" charset="0"/>
            <a:ea typeface="Cambria" panose="02040503050406030204" pitchFamily="18" charset="0"/>
          </a:endParaRPr>
        </a:p>
        <a:p>
          <a:pPr algn="l"/>
          <a:endParaRPr lang="en-US" sz="1500">
            <a:solidFill>
              <a:schemeClr val="bg1">
                <a:lumMod val="85000"/>
              </a:schemeClr>
            </a:solidFill>
            <a:latin typeface="Cambria" panose="02040503050406030204" pitchFamily="18" charset="0"/>
            <a:ea typeface="Cambria" panose="02040503050406030204" pitchFamily="18" charset="0"/>
          </a:endParaRPr>
        </a:p>
        <a:p>
          <a:pPr algn="l"/>
          <a:r>
            <a:rPr lang="en-US" sz="1500">
              <a:solidFill>
                <a:schemeClr val="bg1">
                  <a:lumMod val="85000"/>
                </a:schemeClr>
              </a:solidFill>
              <a:latin typeface="Cambria" panose="02040503050406030204" pitchFamily="18" charset="0"/>
              <a:ea typeface="Cambria" panose="02040503050406030204" pitchFamily="18" charset="0"/>
            </a:rPr>
            <a:t>Data analysis on this dataset is critical because it transforms raw layoff records into clear, actionable insights that support smarter workforce decisions. By analyzing trends across industries, company stages, and regions, it becomes possible to identify high-risk patterns early, anticipate workforce instability, and design proactive hiring and cost-control strategies. This approach enables organizations to move from reactive layoffs to predictive workforce planning, improving operational efficiency, financial stability, and long-term organizational resilience.</a:t>
          </a:r>
          <a:endParaRPr lang="en-US" sz="15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17</xdr:col>
      <xdr:colOff>323850</xdr:colOff>
      <xdr:row>11</xdr:row>
      <xdr:rowOff>133350</xdr:rowOff>
    </xdr:from>
    <xdr:to>
      <xdr:col>25</xdr:col>
      <xdr:colOff>276225</xdr:colOff>
      <xdr:row>15</xdr:row>
      <xdr:rowOff>104775</xdr:rowOff>
    </xdr:to>
    <xdr:sp macro="" textlink="Analysis!M34">
      <xdr:nvSpPr>
        <xdr:cNvPr id="3099" name="TextBox 3098">
          <a:extLst>
            <a:ext uri="{FF2B5EF4-FFF2-40B4-BE49-F238E27FC236}">
              <a16:creationId xmlns:a16="http://schemas.microsoft.com/office/drawing/2014/main" id="{EEE56EFE-77EE-46D2-9E26-45F071F66FDF}"/>
            </a:ext>
          </a:extLst>
        </xdr:cNvPr>
        <xdr:cNvSpPr txBox="1"/>
      </xdr:nvSpPr>
      <xdr:spPr>
        <a:xfrm>
          <a:off x="10687050" y="2228850"/>
          <a:ext cx="48291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lumMod val="85000"/>
                </a:schemeClr>
              </a:solidFill>
            </a:rPr>
            <a:t>Major Process Used to Build this Dashboard</a:t>
          </a:r>
        </a:p>
      </xdr:txBody>
    </xdr:sp>
    <xdr:clientData/>
  </xdr:twoCellAnchor>
  <xdr:twoCellAnchor>
    <xdr:from>
      <xdr:col>17</xdr:col>
      <xdr:colOff>228600</xdr:colOff>
      <xdr:row>14</xdr:row>
      <xdr:rowOff>152400</xdr:rowOff>
    </xdr:from>
    <xdr:to>
      <xdr:col>25</xdr:col>
      <xdr:colOff>371474</xdr:colOff>
      <xdr:row>41</xdr:row>
      <xdr:rowOff>95250</xdr:rowOff>
    </xdr:to>
    <xdr:sp macro="" textlink="">
      <xdr:nvSpPr>
        <xdr:cNvPr id="3100" name="TextBox 3099">
          <a:extLst>
            <a:ext uri="{FF2B5EF4-FFF2-40B4-BE49-F238E27FC236}">
              <a16:creationId xmlns:a16="http://schemas.microsoft.com/office/drawing/2014/main" id="{CD936FE5-9538-45CF-A91F-86AD660E9379}"/>
            </a:ext>
          </a:extLst>
        </xdr:cNvPr>
        <xdr:cNvSpPr txBox="1"/>
      </xdr:nvSpPr>
      <xdr:spPr>
        <a:xfrm>
          <a:off x="10591800" y="2819400"/>
          <a:ext cx="5019674" cy="5086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500">
              <a:solidFill>
                <a:schemeClr val="bg1">
                  <a:lumMod val="85000"/>
                </a:schemeClr>
              </a:solidFill>
            </a:rPr>
            <a:t>1.</a:t>
          </a:r>
          <a:r>
            <a:rPr lang="en-US" sz="1500" baseline="0">
              <a:solidFill>
                <a:schemeClr val="bg1">
                  <a:lumMod val="85000"/>
                </a:schemeClr>
              </a:solidFill>
            </a:rPr>
            <a:t> </a:t>
          </a:r>
          <a:r>
            <a:rPr lang="en-US" sz="1500">
              <a:solidFill>
                <a:schemeClr val="bg1">
                  <a:lumMod val="85000"/>
                </a:schemeClr>
              </a:solidFill>
            </a:rPr>
            <a:t>Assessed raw dataset to understand structure, quality, and data gaps.</a:t>
          </a:r>
        </a:p>
        <a:p>
          <a:endParaRPr lang="en-US" sz="1500">
            <a:solidFill>
              <a:schemeClr val="bg1">
                <a:lumMod val="85000"/>
              </a:schemeClr>
            </a:solidFill>
          </a:endParaRPr>
        </a:p>
        <a:p>
          <a:r>
            <a:rPr lang="en-US" sz="1500">
              <a:solidFill>
                <a:schemeClr val="bg1">
                  <a:lumMod val="85000"/>
                </a:schemeClr>
              </a:solidFill>
            </a:rPr>
            <a:t>2. Cleaned and transformed data using </a:t>
          </a:r>
          <a:r>
            <a:rPr lang="en-US" sz="1500" b="1">
              <a:solidFill>
                <a:schemeClr val="bg1">
                  <a:lumMod val="85000"/>
                </a:schemeClr>
              </a:solidFill>
            </a:rPr>
            <a:t>SQL</a:t>
          </a:r>
          <a:r>
            <a:rPr lang="en-US" sz="1500">
              <a:solidFill>
                <a:schemeClr val="bg1">
                  <a:lumMod val="85000"/>
                </a:schemeClr>
              </a:solidFill>
            </a:rPr>
            <a:t> (handled missing values, removed duplicates, standardized fields, and formatted dates).</a:t>
          </a:r>
        </a:p>
        <a:p>
          <a:endParaRPr lang="en-US" sz="1500">
            <a:solidFill>
              <a:schemeClr val="bg1">
                <a:lumMod val="85000"/>
              </a:schemeClr>
            </a:solidFill>
          </a:endParaRPr>
        </a:p>
        <a:p>
          <a:r>
            <a:rPr lang="en-US" sz="1500">
              <a:solidFill>
                <a:schemeClr val="bg1">
                  <a:lumMod val="85000"/>
                </a:schemeClr>
              </a:solidFill>
            </a:rPr>
            <a:t>3. Created analytical tables and structured the data model for reporting.</a:t>
          </a:r>
        </a:p>
        <a:p>
          <a:endParaRPr lang="en-US" sz="1500">
            <a:solidFill>
              <a:schemeClr val="bg1">
                <a:lumMod val="85000"/>
              </a:schemeClr>
            </a:solidFill>
          </a:endParaRPr>
        </a:p>
        <a:p>
          <a:r>
            <a:rPr lang="en-US" sz="1500">
              <a:solidFill>
                <a:schemeClr val="bg1">
                  <a:lumMod val="85000"/>
                </a:schemeClr>
              </a:solidFill>
            </a:rPr>
            <a:t>4. Developed key metrics and KPIs for workforce and layoff analysis.</a:t>
          </a:r>
        </a:p>
        <a:p>
          <a:endParaRPr lang="en-US" sz="1500">
            <a:solidFill>
              <a:schemeClr val="bg1">
                <a:lumMod val="85000"/>
              </a:schemeClr>
            </a:solidFill>
          </a:endParaRPr>
        </a:p>
        <a:p>
          <a:r>
            <a:rPr lang="en-US" sz="1500">
              <a:solidFill>
                <a:schemeClr val="bg1">
                  <a:lumMod val="85000"/>
                </a:schemeClr>
              </a:solidFill>
            </a:rPr>
            <a:t>5. Designed relationships across company, industry, geography, and time dimensions.</a:t>
          </a:r>
        </a:p>
        <a:p>
          <a:endParaRPr lang="en-US" sz="1500">
            <a:solidFill>
              <a:schemeClr val="bg1">
                <a:lumMod val="85000"/>
              </a:schemeClr>
            </a:solidFill>
          </a:endParaRPr>
        </a:p>
        <a:p>
          <a:r>
            <a:rPr lang="en-US" sz="1500">
              <a:solidFill>
                <a:schemeClr val="bg1">
                  <a:lumMod val="85000"/>
                </a:schemeClr>
              </a:solidFill>
            </a:rPr>
            <a:t>6. Built interactive Excel dashboard with filters, drill-downs, and trend analysis.</a:t>
          </a:r>
        </a:p>
        <a:p>
          <a:endParaRPr lang="en-US" sz="1500">
            <a:solidFill>
              <a:schemeClr val="bg1">
                <a:lumMod val="85000"/>
              </a:schemeClr>
            </a:solidFill>
          </a:endParaRPr>
        </a:p>
        <a:p>
          <a:r>
            <a:rPr lang="en-US" sz="1500">
              <a:solidFill>
                <a:schemeClr val="bg1">
                  <a:lumMod val="85000"/>
                </a:schemeClr>
              </a:solidFill>
            </a:rPr>
            <a:t>7. Interpreted results to generate actionable business insights.</a:t>
          </a:r>
        </a:p>
      </xdr:txBody>
    </xdr:sp>
    <xdr:clientData/>
  </xdr:twoCellAnchor>
  <xdr:twoCellAnchor>
    <xdr:from>
      <xdr:col>3</xdr:col>
      <xdr:colOff>133350</xdr:colOff>
      <xdr:row>37</xdr:row>
      <xdr:rowOff>161925</xdr:rowOff>
    </xdr:from>
    <xdr:to>
      <xdr:col>6</xdr:col>
      <xdr:colOff>38100</xdr:colOff>
      <xdr:row>40</xdr:row>
      <xdr:rowOff>133350</xdr:rowOff>
    </xdr:to>
    <xdr:sp macro="" textlink="">
      <xdr:nvSpPr>
        <xdr:cNvPr id="3101" name="Rectangle: Rounded Corners 3100">
          <a:extLst>
            <a:ext uri="{FF2B5EF4-FFF2-40B4-BE49-F238E27FC236}">
              <a16:creationId xmlns:a16="http://schemas.microsoft.com/office/drawing/2014/main" id="{CC9ED3B5-D50E-A798-F742-7D695F79AE63}"/>
            </a:ext>
          </a:extLst>
        </xdr:cNvPr>
        <xdr:cNvSpPr/>
      </xdr:nvSpPr>
      <xdr:spPr>
        <a:xfrm>
          <a:off x="1962150" y="7210425"/>
          <a:ext cx="1733550" cy="542925"/>
        </a:xfrm>
        <a:prstGeom prst="roundRect">
          <a:avLst/>
        </a:prstGeom>
        <a:solidFill>
          <a:srgbClr val="F8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285750</xdr:colOff>
      <xdr:row>37</xdr:row>
      <xdr:rowOff>171450</xdr:rowOff>
    </xdr:from>
    <xdr:to>
      <xdr:col>9</xdr:col>
      <xdr:colOff>190500</xdr:colOff>
      <xdr:row>40</xdr:row>
      <xdr:rowOff>142875</xdr:rowOff>
    </xdr:to>
    <xdr:sp macro="" textlink="">
      <xdr:nvSpPr>
        <xdr:cNvPr id="3102" name="Rectangle: Rounded Corners 3101">
          <a:extLst>
            <a:ext uri="{FF2B5EF4-FFF2-40B4-BE49-F238E27FC236}">
              <a16:creationId xmlns:a16="http://schemas.microsoft.com/office/drawing/2014/main" id="{25D7A05C-F0B1-498E-8C90-45CBC19509DE}"/>
            </a:ext>
          </a:extLst>
        </xdr:cNvPr>
        <xdr:cNvSpPr/>
      </xdr:nvSpPr>
      <xdr:spPr>
        <a:xfrm>
          <a:off x="3943350" y="7219950"/>
          <a:ext cx="1733550" cy="542925"/>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438150</xdr:colOff>
      <xdr:row>37</xdr:row>
      <xdr:rowOff>161925</xdr:rowOff>
    </xdr:from>
    <xdr:to>
      <xdr:col>12</xdr:col>
      <xdr:colOff>342900</xdr:colOff>
      <xdr:row>40</xdr:row>
      <xdr:rowOff>133350</xdr:rowOff>
    </xdr:to>
    <xdr:sp macro="" textlink="">
      <xdr:nvSpPr>
        <xdr:cNvPr id="3103" name="Rectangle: Rounded Corners 3102">
          <a:extLst>
            <a:ext uri="{FF2B5EF4-FFF2-40B4-BE49-F238E27FC236}">
              <a16:creationId xmlns:a16="http://schemas.microsoft.com/office/drawing/2014/main" id="{F934076B-9C29-47C4-97DD-6978D0995C10}"/>
            </a:ext>
          </a:extLst>
        </xdr:cNvPr>
        <xdr:cNvSpPr/>
      </xdr:nvSpPr>
      <xdr:spPr>
        <a:xfrm>
          <a:off x="5924550" y="7210425"/>
          <a:ext cx="1733550" cy="542925"/>
        </a:xfrm>
        <a:prstGeom prst="roundRect">
          <a:avLst/>
        </a:prstGeom>
        <a:solidFill>
          <a:srgbClr val="F8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38</xdr:row>
      <xdr:rowOff>57151</xdr:rowOff>
    </xdr:from>
    <xdr:to>
      <xdr:col>6</xdr:col>
      <xdr:colOff>47625</xdr:colOff>
      <xdr:row>40</xdr:row>
      <xdr:rowOff>57151</xdr:rowOff>
    </xdr:to>
    <xdr:sp macro="" textlink="Analysis!M34">
      <xdr:nvSpPr>
        <xdr:cNvPr id="3104" name="TextBox 3103">
          <a:extLst>
            <a:ext uri="{FF2B5EF4-FFF2-40B4-BE49-F238E27FC236}">
              <a16:creationId xmlns:a16="http://schemas.microsoft.com/office/drawing/2014/main" id="{5283C06A-DFDE-447B-A94F-FAAC15E4CDA0}"/>
            </a:ext>
          </a:extLst>
        </xdr:cNvPr>
        <xdr:cNvSpPr txBox="1"/>
      </xdr:nvSpPr>
      <xdr:spPr>
        <a:xfrm>
          <a:off x="2457450" y="7296151"/>
          <a:ext cx="12477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bg1">
                  <a:lumMod val="85000"/>
                </a:schemeClr>
              </a:solidFill>
              <a:latin typeface="Cambria" panose="02040503050406030204" pitchFamily="18" charset="0"/>
              <a:ea typeface="Cambria" panose="02040503050406030204" pitchFamily="18" charset="0"/>
            </a:rPr>
            <a:t>DASHBOARD </a:t>
          </a:r>
          <a:endParaRPr lang="en-US" sz="1400" b="1"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3</xdr:col>
      <xdr:colOff>171450</xdr:colOff>
      <xdr:row>38</xdr:row>
      <xdr:rowOff>9525</xdr:rowOff>
    </xdr:from>
    <xdr:to>
      <xdr:col>4</xdr:col>
      <xdr:colOff>28575</xdr:colOff>
      <xdr:row>40</xdr:row>
      <xdr:rowOff>95250</xdr:rowOff>
    </xdr:to>
    <xdr:pic>
      <xdr:nvPicPr>
        <xdr:cNvPr id="3105" name="Picture 3104">
          <a:extLst>
            <a:ext uri="{FF2B5EF4-FFF2-40B4-BE49-F238E27FC236}">
              <a16:creationId xmlns:a16="http://schemas.microsoft.com/office/drawing/2014/main" id="{E143BE7D-26E3-4CDA-A6AA-31A11ABAB94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000250" y="7248525"/>
          <a:ext cx="466725" cy="466725"/>
        </a:xfrm>
        <a:prstGeom prst="rect">
          <a:avLst/>
        </a:prstGeom>
      </xdr:spPr>
    </xdr:pic>
    <xdr:clientData/>
  </xdr:twoCellAnchor>
  <xdr:twoCellAnchor>
    <xdr:from>
      <xdr:col>7</xdr:col>
      <xdr:colOff>304800</xdr:colOff>
      <xdr:row>38</xdr:row>
      <xdr:rowOff>66676</xdr:rowOff>
    </xdr:from>
    <xdr:to>
      <xdr:col>9</xdr:col>
      <xdr:colOff>161925</xdr:colOff>
      <xdr:row>40</xdr:row>
      <xdr:rowOff>66676</xdr:rowOff>
    </xdr:to>
    <xdr:sp macro="" textlink="Analysis!M34">
      <xdr:nvSpPr>
        <xdr:cNvPr id="3106" name="TextBox 3105">
          <a:extLst>
            <a:ext uri="{FF2B5EF4-FFF2-40B4-BE49-F238E27FC236}">
              <a16:creationId xmlns:a16="http://schemas.microsoft.com/office/drawing/2014/main" id="{8858E59F-1725-455C-8760-D2BBEF38CB4A}"/>
            </a:ext>
          </a:extLst>
        </xdr:cNvPr>
        <xdr:cNvSpPr txBox="1"/>
      </xdr:nvSpPr>
      <xdr:spPr>
        <a:xfrm>
          <a:off x="4572000" y="7305676"/>
          <a:ext cx="10763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tx1">
                  <a:lumMod val="95000"/>
                  <a:lumOff val="5000"/>
                </a:schemeClr>
              </a:solidFill>
              <a:latin typeface="Cambria" panose="02040503050406030204" pitchFamily="18" charset="0"/>
              <a:ea typeface="Cambria" panose="02040503050406030204" pitchFamily="18" charset="0"/>
            </a:rPr>
            <a:t>INSIGHT </a:t>
          </a:r>
          <a:endParaRPr lang="en-US" sz="1600" b="1" i="0" u="none" strike="noStrike">
            <a:solidFill>
              <a:schemeClr val="tx1">
                <a:lumMod val="95000"/>
                <a:lumOff val="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6</xdr:col>
      <xdr:colOff>371475</xdr:colOff>
      <xdr:row>37</xdr:row>
      <xdr:rowOff>162216</xdr:rowOff>
    </xdr:from>
    <xdr:to>
      <xdr:col>7</xdr:col>
      <xdr:colOff>276225</xdr:colOff>
      <xdr:row>40</xdr:row>
      <xdr:rowOff>105066</xdr:rowOff>
    </xdr:to>
    <xdr:pic>
      <xdr:nvPicPr>
        <xdr:cNvPr id="3107" name="Picture 3106">
          <a:extLst>
            <a:ext uri="{FF2B5EF4-FFF2-40B4-BE49-F238E27FC236}">
              <a16:creationId xmlns:a16="http://schemas.microsoft.com/office/drawing/2014/main" id="{114C1EC6-139A-416E-A7C3-D99686E81400}"/>
            </a:ext>
          </a:extLst>
        </xdr:cNvPr>
        <xdr:cNvPicPr>
          <a:picLocks noChangeAspect="1"/>
        </xdr:cNvPicPr>
      </xdr:nvPicPr>
      <xdr:blipFill>
        <a:blip xmlns:r="http://schemas.openxmlformats.org/officeDocument/2006/relationships" r:embed="rId2" cstate="print">
          <a:biLevel thresh="75000"/>
          <a:extLst>
            <a:ext uri="{BEBA8EAE-BF5A-486C-A8C5-ECC9F3942E4B}">
              <a14:imgProps xmlns:a14="http://schemas.microsoft.com/office/drawing/2010/main">
                <a14:imgLayer r:embed="rId3">
                  <a14:imgEffect>
                    <a14:brightnessContrast bright="100000" contrast="-70000"/>
                  </a14:imgEffect>
                </a14:imgLayer>
              </a14:imgProps>
            </a:ext>
            <a:ext uri="{28A0092B-C50C-407E-A947-70E740481C1C}">
              <a14:useLocalDpi xmlns:a14="http://schemas.microsoft.com/office/drawing/2010/main" val="0"/>
            </a:ext>
          </a:extLst>
        </a:blip>
        <a:stretch>
          <a:fillRect/>
        </a:stretch>
      </xdr:blipFill>
      <xdr:spPr>
        <a:xfrm flipH="1">
          <a:off x="4029075" y="7210716"/>
          <a:ext cx="514350" cy="514350"/>
        </a:xfrm>
        <a:prstGeom prst="rect">
          <a:avLst/>
        </a:prstGeom>
      </xdr:spPr>
    </xdr:pic>
    <xdr:clientData/>
  </xdr:twoCellAnchor>
  <xdr:twoCellAnchor>
    <xdr:from>
      <xdr:col>9</xdr:col>
      <xdr:colOff>504827</xdr:colOff>
      <xdr:row>37</xdr:row>
      <xdr:rowOff>189889</xdr:rowOff>
    </xdr:from>
    <xdr:to>
      <xdr:col>10</xdr:col>
      <xdr:colOff>381000</xdr:colOff>
      <xdr:row>40</xdr:row>
      <xdr:rowOff>104162</xdr:rowOff>
    </xdr:to>
    <xdr:pic>
      <xdr:nvPicPr>
        <xdr:cNvPr id="3108" name="Picture 3107">
          <a:extLst>
            <a:ext uri="{FF2B5EF4-FFF2-40B4-BE49-F238E27FC236}">
              <a16:creationId xmlns:a16="http://schemas.microsoft.com/office/drawing/2014/main" id="{8B45D0D7-F348-4CB4-B352-D867FB2669C8}"/>
            </a:ext>
          </a:extLst>
        </xdr:cNvPr>
        <xdr:cNvPicPr>
          <a:picLocks noChangeAspect="1"/>
        </xdr:cNvPicPr>
      </xdr:nvPicPr>
      <xdr:blipFill>
        <a:blip xmlns:r="http://schemas.openxmlformats.org/officeDocument/2006/relationships" r:embed="rId4" cstate="print">
          <a:lum bright="70000" contrast="-70000"/>
          <a:extLst>
            <a:ext uri="{BEBA8EAE-BF5A-486C-A8C5-ECC9F3942E4B}">
              <a14:imgProps xmlns:a14="http://schemas.microsoft.com/office/drawing/2010/main">
                <a14:imgLayer r:embed="rId5">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a:off x="5991227" y="7238389"/>
          <a:ext cx="485773" cy="485773"/>
        </a:xfrm>
        <a:prstGeom prst="rect">
          <a:avLst/>
        </a:prstGeom>
      </xdr:spPr>
    </xdr:pic>
    <xdr:clientData/>
  </xdr:twoCellAnchor>
  <xdr:twoCellAnchor>
    <xdr:from>
      <xdr:col>10</xdr:col>
      <xdr:colOff>371475</xdr:colOff>
      <xdr:row>38</xdr:row>
      <xdr:rowOff>66676</xdr:rowOff>
    </xdr:from>
    <xdr:to>
      <xdr:col>12</xdr:col>
      <xdr:colOff>323850</xdr:colOff>
      <xdr:row>40</xdr:row>
      <xdr:rowOff>66676</xdr:rowOff>
    </xdr:to>
    <xdr:sp macro="" textlink="Analysis!M34">
      <xdr:nvSpPr>
        <xdr:cNvPr id="3109" name="TextBox 3108">
          <a:extLst>
            <a:ext uri="{FF2B5EF4-FFF2-40B4-BE49-F238E27FC236}">
              <a16:creationId xmlns:a16="http://schemas.microsoft.com/office/drawing/2014/main" id="{EDA6D2DC-5A22-4227-9B95-DB5859B93BFA}"/>
            </a:ext>
          </a:extLst>
        </xdr:cNvPr>
        <xdr:cNvSpPr txBox="1"/>
      </xdr:nvSpPr>
      <xdr:spPr>
        <a:xfrm>
          <a:off x="6467475" y="7305676"/>
          <a:ext cx="11715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tx1">
                  <a:lumMod val="95000"/>
                  <a:lumOff val="5000"/>
                </a:schemeClr>
              </a:solidFill>
              <a:latin typeface="Cambria" panose="02040503050406030204" pitchFamily="18" charset="0"/>
              <a:ea typeface="Cambria" panose="02040503050406030204" pitchFamily="18" charset="0"/>
            </a:rPr>
            <a:t>ANALYSIS </a:t>
          </a:r>
          <a:endParaRPr lang="en-US" sz="1600" b="1" i="0" u="none" strike="noStrike">
            <a:solidFill>
              <a:schemeClr val="tx1">
                <a:lumMod val="95000"/>
                <a:lumOff val="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3</xdr:col>
      <xdr:colOff>142875</xdr:colOff>
      <xdr:row>37</xdr:row>
      <xdr:rowOff>161925</xdr:rowOff>
    </xdr:from>
    <xdr:to>
      <xdr:col>6</xdr:col>
      <xdr:colOff>47625</xdr:colOff>
      <xdr:row>40</xdr:row>
      <xdr:rowOff>133350</xdr:rowOff>
    </xdr:to>
    <xdr:sp macro="" textlink="">
      <xdr:nvSpPr>
        <xdr:cNvPr id="3110" name="Rectangle: Rounded Corners 3109">
          <a:hlinkClick xmlns:r="http://schemas.openxmlformats.org/officeDocument/2006/relationships" r:id="rId6"/>
          <a:extLst>
            <a:ext uri="{FF2B5EF4-FFF2-40B4-BE49-F238E27FC236}">
              <a16:creationId xmlns:a16="http://schemas.microsoft.com/office/drawing/2014/main" id="{C9F825FD-F270-4476-BD9E-4ABB6C863B90}"/>
            </a:ext>
          </a:extLst>
        </xdr:cNvPr>
        <xdr:cNvSpPr/>
      </xdr:nvSpPr>
      <xdr:spPr>
        <a:xfrm>
          <a:off x="1971675" y="7210425"/>
          <a:ext cx="1733550"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6</xdr:col>
      <xdr:colOff>285750</xdr:colOff>
      <xdr:row>37</xdr:row>
      <xdr:rowOff>95250</xdr:rowOff>
    </xdr:from>
    <xdr:to>
      <xdr:col>9</xdr:col>
      <xdr:colOff>190500</xdr:colOff>
      <xdr:row>40</xdr:row>
      <xdr:rowOff>66675</xdr:rowOff>
    </xdr:to>
    <xdr:sp macro="" textlink="">
      <xdr:nvSpPr>
        <xdr:cNvPr id="3112" name="Rectangle: Rounded Corners 3111">
          <a:hlinkClick xmlns:r="http://schemas.openxmlformats.org/officeDocument/2006/relationships" r:id="rId7"/>
          <a:extLst>
            <a:ext uri="{FF2B5EF4-FFF2-40B4-BE49-F238E27FC236}">
              <a16:creationId xmlns:a16="http://schemas.microsoft.com/office/drawing/2014/main" id="{2BDBB913-860D-44EE-B7B0-BB531008CFAB}"/>
            </a:ext>
          </a:extLst>
        </xdr:cNvPr>
        <xdr:cNvSpPr/>
      </xdr:nvSpPr>
      <xdr:spPr>
        <a:xfrm>
          <a:off x="3943350" y="7143750"/>
          <a:ext cx="1733550"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9</xdr:col>
      <xdr:colOff>457200</xdr:colOff>
      <xdr:row>37</xdr:row>
      <xdr:rowOff>152400</xdr:rowOff>
    </xdr:from>
    <xdr:to>
      <xdr:col>12</xdr:col>
      <xdr:colOff>361950</xdr:colOff>
      <xdr:row>40</xdr:row>
      <xdr:rowOff>123825</xdr:rowOff>
    </xdr:to>
    <xdr:sp macro="" textlink="">
      <xdr:nvSpPr>
        <xdr:cNvPr id="3113" name="Rectangle: Rounded Corners 3112">
          <a:hlinkClick xmlns:r="http://schemas.openxmlformats.org/officeDocument/2006/relationships" r:id="rId8"/>
          <a:extLst>
            <a:ext uri="{FF2B5EF4-FFF2-40B4-BE49-F238E27FC236}">
              <a16:creationId xmlns:a16="http://schemas.microsoft.com/office/drawing/2014/main" id="{EC70FC8A-3D4A-453E-93BC-4AE7C86C5B61}"/>
            </a:ext>
          </a:extLst>
        </xdr:cNvPr>
        <xdr:cNvSpPr/>
      </xdr:nvSpPr>
      <xdr:spPr>
        <a:xfrm>
          <a:off x="5943600" y="7200900"/>
          <a:ext cx="1733550"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editAs="oneCell">
    <xdr:from>
      <xdr:col>23</xdr:col>
      <xdr:colOff>581025</xdr:colOff>
      <xdr:row>5</xdr:row>
      <xdr:rowOff>56890</xdr:rowOff>
    </xdr:from>
    <xdr:to>
      <xdr:col>25</xdr:col>
      <xdr:colOff>285750</xdr:colOff>
      <xdr:row>10</xdr:row>
      <xdr:rowOff>28315</xdr:rowOff>
    </xdr:to>
    <xdr:pic>
      <xdr:nvPicPr>
        <xdr:cNvPr id="3116" name="Picture 3115">
          <a:extLst>
            <a:ext uri="{FF2B5EF4-FFF2-40B4-BE49-F238E27FC236}">
              <a16:creationId xmlns:a16="http://schemas.microsoft.com/office/drawing/2014/main" id="{38DF24EB-883A-E6E4-6B27-A338EE177B73}"/>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10004" b="10004"/>
        <a:stretch>
          <a:fillRect/>
        </a:stretch>
      </xdr:blipFill>
      <xdr:spPr>
        <a:xfrm>
          <a:off x="14601825" y="1009390"/>
          <a:ext cx="923925" cy="923925"/>
        </a:xfrm>
        <a:prstGeom prst="ellipse">
          <a:avLst/>
        </a:prstGeom>
        <a:effectLst>
          <a:softEdge rad="0"/>
        </a:effectLst>
      </xdr:spPr>
    </xdr:pic>
    <xdr:clientData/>
  </xdr:twoCellAnchor>
  <xdr:twoCellAnchor>
    <xdr:from>
      <xdr:col>20</xdr:col>
      <xdr:colOff>542926</xdr:colOff>
      <xdr:row>5</xdr:row>
      <xdr:rowOff>95250</xdr:rowOff>
    </xdr:from>
    <xdr:to>
      <xdr:col>23</xdr:col>
      <xdr:colOff>161926</xdr:colOff>
      <xdr:row>7</xdr:row>
      <xdr:rowOff>142875</xdr:rowOff>
    </xdr:to>
    <xdr:sp macro="" textlink="Analysis!M34">
      <xdr:nvSpPr>
        <xdr:cNvPr id="3117" name="TextBox 3116">
          <a:extLst>
            <a:ext uri="{FF2B5EF4-FFF2-40B4-BE49-F238E27FC236}">
              <a16:creationId xmlns:a16="http://schemas.microsoft.com/office/drawing/2014/main" id="{56AD0EA8-E5F5-47BB-8AD2-397A2B129AA8}"/>
            </a:ext>
          </a:extLst>
        </xdr:cNvPr>
        <xdr:cNvSpPr txBox="1"/>
      </xdr:nvSpPr>
      <xdr:spPr>
        <a:xfrm>
          <a:off x="12734926" y="1047750"/>
          <a:ext cx="14478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lumMod val="85000"/>
                </a:schemeClr>
              </a:solidFill>
              <a:latin typeface="Cambria" panose="02040503050406030204" pitchFamily="18" charset="0"/>
              <a:ea typeface="Cambria" panose="02040503050406030204" pitchFamily="18" charset="0"/>
            </a:rPr>
            <a:t>Presented by</a:t>
          </a:r>
        </a:p>
      </xdr:txBody>
    </xdr:sp>
    <xdr:clientData/>
  </xdr:twoCellAnchor>
  <xdr:twoCellAnchor>
    <xdr:from>
      <xdr:col>20</xdr:col>
      <xdr:colOff>285751</xdr:colOff>
      <xdr:row>6</xdr:row>
      <xdr:rowOff>85725</xdr:rowOff>
    </xdr:from>
    <xdr:to>
      <xdr:col>23</xdr:col>
      <xdr:colOff>476251</xdr:colOff>
      <xdr:row>10</xdr:row>
      <xdr:rowOff>57150</xdr:rowOff>
    </xdr:to>
    <xdr:sp macro="" textlink="Analysis!M34">
      <xdr:nvSpPr>
        <xdr:cNvPr id="3118" name="TextBox 3117">
          <a:extLst>
            <a:ext uri="{FF2B5EF4-FFF2-40B4-BE49-F238E27FC236}">
              <a16:creationId xmlns:a16="http://schemas.microsoft.com/office/drawing/2014/main" id="{6C4BC46A-DBF0-4575-AC92-6D8EF7F1240D}"/>
            </a:ext>
          </a:extLst>
        </xdr:cNvPr>
        <xdr:cNvSpPr txBox="1"/>
      </xdr:nvSpPr>
      <xdr:spPr>
        <a:xfrm>
          <a:off x="12477751" y="1228725"/>
          <a:ext cx="20193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85000"/>
                </a:schemeClr>
              </a:solidFill>
              <a:latin typeface="Cambria" panose="02040503050406030204" pitchFamily="18" charset="0"/>
              <a:ea typeface="Cambria" panose="02040503050406030204" pitchFamily="18" charset="0"/>
            </a:rPr>
            <a:t>Godwin Thompson</a:t>
          </a:r>
        </a:p>
      </xdr:txBody>
    </xdr:sp>
    <xdr:clientData/>
  </xdr:twoCellAnchor>
  <xdr:twoCellAnchor>
    <xdr:from>
      <xdr:col>2</xdr:col>
      <xdr:colOff>266700</xdr:colOff>
      <xdr:row>30</xdr:row>
      <xdr:rowOff>114300</xdr:rowOff>
    </xdr:from>
    <xdr:to>
      <xdr:col>8</xdr:col>
      <xdr:colOff>400050</xdr:colOff>
      <xdr:row>32</xdr:row>
      <xdr:rowOff>161926</xdr:rowOff>
    </xdr:to>
    <xdr:sp macro="" textlink="">
      <xdr:nvSpPr>
        <xdr:cNvPr id="3" name="TextBox 2">
          <a:extLst>
            <a:ext uri="{FF2B5EF4-FFF2-40B4-BE49-F238E27FC236}">
              <a16:creationId xmlns:a16="http://schemas.microsoft.com/office/drawing/2014/main" id="{651FD431-1A93-F7B7-C059-D3F190CDB620}"/>
            </a:ext>
          </a:extLst>
        </xdr:cNvPr>
        <xdr:cNvSpPr txBox="1"/>
      </xdr:nvSpPr>
      <xdr:spPr>
        <a:xfrm>
          <a:off x="1485900" y="5829300"/>
          <a:ext cx="3790950"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85252"/>
              </a:solidFill>
              <a:latin typeface="Cambria" panose="02040503050406030204" pitchFamily="18" charset="0"/>
              <a:ea typeface="Cambria" panose="02040503050406030204" pitchFamily="18" charset="0"/>
            </a:rPr>
            <a:t>999 Rows </a:t>
          </a:r>
          <a:r>
            <a:rPr lang="en-US" sz="1800">
              <a:solidFill>
                <a:schemeClr val="bg1">
                  <a:lumMod val="75000"/>
                </a:schemeClr>
              </a:solidFill>
              <a:latin typeface="Cambria" panose="02040503050406030204" pitchFamily="18" charset="0"/>
              <a:ea typeface="Cambria" panose="02040503050406030204" pitchFamily="18" charset="0"/>
            </a:rPr>
            <a:t>and </a:t>
          </a:r>
          <a:r>
            <a:rPr lang="en-US" sz="1800">
              <a:solidFill>
                <a:srgbClr val="F85252"/>
              </a:solidFill>
              <a:latin typeface="Cambria" panose="02040503050406030204" pitchFamily="18" charset="0"/>
              <a:ea typeface="Cambria" panose="02040503050406030204" pitchFamily="18" charset="0"/>
            </a:rPr>
            <a:t>7 Columns  </a:t>
          </a:r>
          <a:r>
            <a:rPr lang="en-US" sz="1800">
              <a:solidFill>
                <a:schemeClr val="bg1">
                  <a:lumMod val="75000"/>
                </a:schemeClr>
              </a:solidFill>
              <a:latin typeface="Cambria" panose="02040503050406030204" pitchFamily="18" charset="0"/>
              <a:ea typeface="Cambria" panose="02040503050406030204" pitchFamily="18" charset="0"/>
            </a:rPr>
            <a:t>Dataset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3</xdr:row>
      <xdr:rowOff>114300</xdr:rowOff>
    </xdr:from>
    <xdr:to>
      <xdr:col>26</xdr:col>
      <xdr:colOff>57150</xdr:colOff>
      <xdr:row>34</xdr:row>
      <xdr:rowOff>66675</xdr:rowOff>
    </xdr:to>
    <xdr:sp macro="" textlink="">
      <xdr:nvSpPr>
        <xdr:cNvPr id="2" name="Rectangle: Rounded Corners 1">
          <a:extLst>
            <a:ext uri="{FF2B5EF4-FFF2-40B4-BE49-F238E27FC236}">
              <a16:creationId xmlns:a16="http://schemas.microsoft.com/office/drawing/2014/main" id="{3C9A14B9-B769-9980-76C1-5D2F6E3694FD}"/>
            </a:ext>
          </a:extLst>
        </xdr:cNvPr>
        <xdr:cNvSpPr/>
      </xdr:nvSpPr>
      <xdr:spPr>
        <a:xfrm>
          <a:off x="866775" y="685800"/>
          <a:ext cx="15039975" cy="5857875"/>
        </a:xfrm>
        <a:prstGeom prst="roundRect">
          <a:avLst>
            <a:gd name="adj" fmla="val 219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428625</xdr:colOff>
      <xdr:row>9</xdr:row>
      <xdr:rowOff>171450</xdr:rowOff>
    </xdr:from>
    <xdr:to>
      <xdr:col>25</xdr:col>
      <xdr:colOff>495300</xdr:colOff>
      <xdr:row>9</xdr:row>
      <xdr:rowOff>171450</xdr:rowOff>
    </xdr:to>
    <xdr:cxnSp macro="">
      <xdr:nvCxnSpPr>
        <xdr:cNvPr id="4" name="Straight Connector 3">
          <a:extLst>
            <a:ext uri="{FF2B5EF4-FFF2-40B4-BE49-F238E27FC236}">
              <a16:creationId xmlns:a16="http://schemas.microsoft.com/office/drawing/2014/main" id="{FE540384-5082-1395-35F6-BDA144C16D0E}"/>
            </a:ext>
          </a:extLst>
        </xdr:cNvPr>
        <xdr:cNvCxnSpPr/>
      </xdr:nvCxnSpPr>
      <xdr:spPr>
        <a:xfrm>
          <a:off x="1038225" y="1885950"/>
          <a:ext cx="14697075" cy="0"/>
        </a:xfrm>
        <a:prstGeom prst="line">
          <a:avLst/>
        </a:prstGeom>
        <a:ln w="25400">
          <a:solidFill>
            <a:srgbClr val="F97373"/>
          </a:solidFill>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21</xdr:col>
          <xdr:colOff>342900</xdr:colOff>
          <xdr:row>7</xdr:row>
          <xdr:rowOff>133350</xdr:rowOff>
        </xdr:from>
        <xdr:to>
          <xdr:col>25</xdr:col>
          <xdr:colOff>447675</xdr:colOff>
          <xdr:row>9</xdr:row>
          <xdr:rowOff>57150</xdr:rowOff>
        </xdr:to>
        <xdr:grpSp>
          <xdr:nvGrpSpPr>
            <xdr:cNvPr id="18" name="Group 17">
              <a:extLst>
                <a:ext uri="{FF2B5EF4-FFF2-40B4-BE49-F238E27FC236}">
                  <a16:creationId xmlns:a16="http://schemas.microsoft.com/office/drawing/2014/main" id="{937286C0-F249-63C1-DAA4-A8893A7BC8AE}"/>
                </a:ext>
              </a:extLst>
            </xdr:cNvPr>
            <xdr:cNvGrpSpPr/>
          </xdr:nvGrpSpPr>
          <xdr:grpSpPr>
            <a:xfrm>
              <a:off x="13144500" y="1466850"/>
              <a:ext cx="2543175" cy="304800"/>
              <a:chOff x="13144500" y="1466850"/>
              <a:chExt cx="2543175" cy="304800"/>
            </a:xfrm>
          </xdr:grpSpPr>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13144500" y="1466850"/>
                <a:ext cx="1200150" cy="304800"/>
              </a:xfrm>
              <a:prstGeom prst="rect">
                <a:avLst/>
              </a:prstGeom>
              <a:solidFill>
                <a:srgbClr val="DDDDDD"/>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LAID OFF</a:t>
                </a:r>
              </a:p>
            </xdr:txBody>
          </xdr:sp>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14487525" y="1466850"/>
                <a:ext cx="1200150" cy="304800"/>
              </a:xfrm>
              <a:prstGeom prst="rect">
                <a:avLst/>
              </a:prstGeom>
              <a:solidFill>
                <a:srgbClr val="DDDDDD"/>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FUNDS RAISED</a:t>
                </a:r>
              </a:p>
            </xdr:txBody>
          </xdr:sp>
        </xdr:grpSp>
        <xdr:clientData fLocksWithSheet="0"/>
      </xdr:twoCellAnchor>
    </mc:Choice>
    <mc:Fallback/>
  </mc:AlternateContent>
  <xdr:twoCellAnchor>
    <xdr:from>
      <xdr:col>19</xdr:col>
      <xdr:colOff>1</xdr:colOff>
      <xdr:row>27</xdr:row>
      <xdr:rowOff>180975</xdr:rowOff>
    </xdr:from>
    <xdr:to>
      <xdr:col>25</xdr:col>
      <xdr:colOff>554401</xdr:colOff>
      <xdr:row>39</xdr:row>
      <xdr:rowOff>38100</xdr:rowOff>
    </xdr:to>
    <xdr:grpSp>
      <xdr:nvGrpSpPr>
        <xdr:cNvPr id="1041" name="Group 1040">
          <a:extLst>
            <a:ext uri="{FF2B5EF4-FFF2-40B4-BE49-F238E27FC236}">
              <a16:creationId xmlns:a16="http://schemas.microsoft.com/office/drawing/2014/main" id="{755BE0CE-031A-1C71-1C2D-4B0D5F59B019}"/>
            </a:ext>
          </a:extLst>
        </xdr:cNvPr>
        <xdr:cNvGrpSpPr/>
      </xdr:nvGrpSpPr>
      <xdr:grpSpPr>
        <a:xfrm>
          <a:off x="11582401" y="5324475"/>
          <a:ext cx="4212000" cy="2143125"/>
          <a:chOff x="11610976" y="5400675"/>
          <a:chExt cx="4212000" cy="2143125"/>
        </a:xfrm>
      </xdr:grpSpPr>
      <xdr:sp macro="" textlink="">
        <xdr:nvSpPr>
          <xdr:cNvPr id="11" name="Rectangle: Rounded Corners 10">
            <a:extLst>
              <a:ext uri="{FF2B5EF4-FFF2-40B4-BE49-F238E27FC236}">
                <a16:creationId xmlns:a16="http://schemas.microsoft.com/office/drawing/2014/main" id="{9F772FDC-936C-4F9F-B874-56CFEA93350A}"/>
              </a:ext>
            </a:extLst>
          </xdr:cNvPr>
          <xdr:cNvSpPr/>
        </xdr:nvSpPr>
        <xdr:spPr>
          <a:xfrm>
            <a:off x="11650052" y="5400675"/>
            <a:ext cx="4133849" cy="2143125"/>
          </a:xfrm>
          <a:prstGeom prst="roundRect">
            <a:avLst>
              <a:gd name="adj" fmla="val 5209"/>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 name="Chart 4">
            <a:extLst>
              <a:ext uri="{FF2B5EF4-FFF2-40B4-BE49-F238E27FC236}">
                <a16:creationId xmlns:a16="http://schemas.microsoft.com/office/drawing/2014/main" id="{7D40B89B-1B41-44CC-9FDF-B51AF819CE80}"/>
              </a:ext>
            </a:extLst>
          </xdr:cNvPr>
          <xdr:cNvGraphicFramePr>
            <a:graphicFrameLocks/>
          </xdr:cNvGraphicFramePr>
        </xdr:nvGraphicFramePr>
        <xdr:xfrm>
          <a:off x="11610976" y="5505450"/>
          <a:ext cx="4212000" cy="19907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19</xdr:col>
      <xdr:colOff>19051</xdr:colOff>
      <xdr:row>11</xdr:row>
      <xdr:rowOff>28575</xdr:rowOff>
    </xdr:from>
    <xdr:to>
      <xdr:col>28</xdr:col>
      <xdr:colOff>419101</xdr:colOff>
      <xdr:row>27</xdr:row>
      <xdr:rowOff>19050</xdr:rowOff>
    </xdr:to>
    <xdr:grpSp>
      <xdr:nvGrpSpPr>
        <xdr:cNvPr id="1040" name="Group 1039">
          <a:extLst>
            <a:ext uri="{FF2B5EF4-FFF2-40B4-BE49-F238E27FC236}">
              <a16:creationId xmlns:a16="http://schemas.microsoft.com/office/drawing/2014/main" id="{D56ADD15-9A5F-F804-C2DE-BA0343B51987}"/>
            </a:ext>
          </a:extLst>
        </xdr:cNvPr>
        <xdr:cNvGrpSpPr/>
      </xdr:nvGrpSpPr>
      <xdr:grpSpPr>
        <a:xfrm>
          <a:off x="11601451" y="2124075"/>
          <a:ext cx="5886450" cy="3038475"/>
          <a:chOff x="11601451" y="2124075"/>
          <a:chExt cx="5886450" cy="3038475"/>
        </a:xfrm>
      </xdr:grpSpPr>
      <xdr:sp macro="" textlink="">
        <xdr:nvSpPr>
          <xdr:cNvPr id="6" name="Rectangle: Rounded Corners 5">
            <a:extLst>
              <a:ext uri="{FF2B5EF4-FFF2-40B4-BE49-F238E27FC236}">
                <a16:creationId xmlns:a16="http://schemas.microsoft.com/office/drawing/2014/main" id="{F08970A9-A059-6C37-F371-360DE0FA12BD}"/>
              </a:ext>
            </a:extLst>
          </xdr:cNvPr>
          <xdr:cNvSpPr/>
        </xdr:nvSpPr>
        <xdr:spPr>
          <a:xfrm>
            <a:off x="11620501" y="2124075"/>
            <a:ext cx="5848350" cy="3038475"/>
          </a:xfrm>
          <a:prstGeom prst="roundRect">
            <a:avLst>
              <a:gd name="adj" fmla="val 5209"/>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850F2B02-5C80-40E8-B969-AAD0F0CD2165}"/>
              </a:ext>
            </a:extLst>
          </xdr:cNvPr>
          <xdr:cNvGraphicFramePr>
            <a:graphicFrameLocks/>
          </xdr:cNvGraphicFramePr>
        </xdr:nvGraphicFramePr>
        <xdr:xfrm>
          <a:off x="11601451" y="2524125"/>
          <a:ext cx="5886450" cy="2628900"/>
        </xdr:xfrm>
        <a:graphic>
          <a:graphicData uri="http://schemas.openxmlformats.org/drawingml/2006/chart">
            <c:chart xmlns:c="http://schemas.openxmlformats.org/drawingml/2006/chart" xmlns:r="http://schemas.openxmlformats.org/officeDocument/2006/relationships" r:id="rId2"/>
          </a:graphicData>
        </a:graphic>
      </xdr:graphicFrame>
      <xdr:sp macro="" textlink="Analysis!M34">
        <xdr:nvSpPr>
          <xdr:cNvPr id="12" name="TextBox 11">
            <a:extLst>
              <a:ext uri="{FF2B5EF4-FFF2-40B4-BE49-F238E27FC236}">
                <a16:creationId xmlns:a16="http://schemas.microsoft.com/office/drawing/2014/main" id="{3A574BDD-0E85-3AD8-988B-2498FDA2E08A}"/>
              </a:ext>
            </a:extLst>
          </xdr:cNvPr>
          <xdr:cNvSpPr txBox="1"/>
        </xdr:nvSpPr>
        <xdr:spPr>
          <a:xfrm>
            <a:off x="13473114" y="2219325"/>
            <a:ext cx="2124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4DF835-BE82-44D9-BB6D-4E6ED1A8D9CF}" type="TxLink">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pPr marL="0" indent="0" algn="ctr"/>
              <a:t>Fund Raised Trendline</a:t>
            </a:fld>
            <a:endPar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grpSp>
    <xdr:clientData/>
  </xdr:twoCellAnchor>
  <xdr:twoCellAnchor>
    <xdr:from>
      <xdr:col>9</xdr:col>
      <xdr:colOff>533401</xdr:colOff>
      <xdr:row>30</xdr:row>
      <xdr:rowOff>171450</xdr:rowOff>
    </xdr:from>
    <xdr:to>
      <xdr:col>18</xdr:col>
      <xdr:colOff>495300</xdr:colOff>
      <xdr:row>49</xdr:row>
      <xdr:rowOff>85725</xdr:rowOff>
    </xdr:to>
    <xdr:sp macro="" textlink="">
      <xdr:nvSpPr>
        <xdr:cNvPr id="7" name="Rectangle: Rounded Corners 6">
          <a:extLst>
            <a:ext uri="{FF2B5EF4-FFF2-40B4-BE49-F238E27FC236}">
              <a16:creationId xmlns:a16="http://schemas.microsoft.com/office/drawing/2014/main" id="{C6884BD1-1790-4E30-827D-995C25A4367B}"/>
            </a:ext>
          </a:extLst>
        </xdr:cNvPr>
        <xdr:cNvSpPr/>
      </xdr:nvSpPr>
      <xdr:spPr>
        <a:xfrm>
          <a:off x="6019801" y="5886450"/>
          <a:ext cx="5448299" cy="3533775"/>
        </a:xfrm>
        <a:prstGeom prst="roundRect">
          <a:avLst>
            <a:gd name="adj" fmla="val 5209"/>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28576</xdr:colOff>
      <xdr:row>32</xdr:row>
      <xdr:rowOff>133350</xdr:rowOff>
    </xdr:from>
    <xdr:to>
      <xdr:col>18</xdr:col>
      <xdr:colOff>390525</xdr:colOff>
      <xdr:row>49</xdr:row>
      <xdr:rowOff>19050</xdr:rowOff>
    </xdr:to>
    <xdr:graphicFrame macro="">
      <xdr:nvGraphicFramePr>
        <xdr:cNvPr id="13" name="Chart 12">
          <a:extLst>
            <a:ext uri="{FF2B5EF4-FFF2-40B4-BE49-F238E27FC236}">
              <a16:creationId xmlns:a16="http://schemas.microsoft.com/office/drawing/2014/main" id="{28FE9009-8EDE-4856-9C8A-C09D1EED6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7145</xdr:colOff>
      <xdr:row>31</xdr:row>
      <xdr:rowOff>85725</xdr:rowOff>
    </xdr:from>
    <xdr:to>
      <xdr:col>17</xdr:col>
      <xdr:colOff>411956</xdr:colOff>
      <xdr:row>33</xdr:row>
      <xdr:rowOff>66675</xdr:rowOff>
    </xdr:to>
    <xdr:sp macro="" textlink="Analysis!AP8">
      <xdr:nvSpPr>
        <xdr:cNvPr id="14" name="TextBox 13">
          <a:extLst>
            <a:ext uri="{FF2B5EF4-FFF2-40B4-BE49-F238E27FC236}">
              <a16:creationId xmlns:a16="http://schemas.microsoft.com/office/drawing/2014/main" id="{9FBEA716-A98B-468B-9214-21E53BB2F84B}"/>
            </a:ext>
          </a:extLst>
        </xdr:cNvPr>
        <xdr:cNvSpPr txBox="1"/>
      </xdr:nvSpPr>
      <xdr:spPr>
        <a:xfrm>
          <a:off x="6712745" y="5991225"/>
          <a:ext cx="406241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9D099FC-6212-46D9-B864-42C3026A29D9}" type="TxLink">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pPr marL="0" indent="0" algn="ctr"/>
            <a:t>Top 10 Company with the highest Laid Offs</a:t>
          </a:fld>
          <a:endPar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xdr:from>
          <xdr:col>9</xdr:col>
          <xdr:colOff>561975</xdr:colOff>
          <xdr:row>7</xdr:row>
          <xdr:rowOff>133350</xdr:rowOff>
        </xdr:from>
        <xdr:to>
          <xdr:col>18</xdr:col>
          <xdr:colOff>295275</xdr:colOff>
          <xdr:row>9</xdr:row>
          <xdr:rowOff>57150</xdr:rowOff>
        </xdr:to>
        <xdr:grpSp>
          <xdr:nvGrpSpPr>
            <xdr:cNvPr id="16" name="Group 15">
              <a:extLst>
                <a:ext uri="{FF2B5EF4-FFF2-40B4-BE49-F238E27FC236}">
                  <a16:creationId xmlns:a16="http://schemas.microsoft.com/office/drawing/2014/main" id="{FA449A09-B737-620A-C441-9E210409AB4F}"/>
                </a:ext>
              </a:extLst>
            </xdr:cNvPr>
            <xdr:cNvGrpSpPr/>
          </xdr:nvGrpSpPr>
          <xdr:grpSpPr>
            <a:xfrm>
              <a:off x="6048375" y="1466850"/>
              <a:ext cx="5219700" cy="304800"/>
              <a:chOff x="6048375" y="2238375"/>
              <a:chExt cx="5219700" cy="304800"/>
            </a:xfrm>
          </xdr:grpSpPr>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6048375" y="2238375"/>
                <a:ext cx="1200150" cy="304800"/>
              </a:xfrm>
              <a:prstGeom prst="rect">
                <a:avLst/>
              </a:prstGeom>
              <a:solidFill>
                <a:srgbClr val="DDDDDD"/>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COMPANY</a:t>
                </a:r>
              </a:p>
            </xdr:txBody>
          </xdr:sp>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7391400" y="2238375"/>
                <a:ext cx="1200150" cy="304800"/>
              </a:xfrm>
              <a:prstGeom prst="rect">
                <a:avLst/>
              </a:prstGeom>
              <a:solidFill>
                <a:srgbClr val="DDDDDD"/>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INDUSTRY</a:t>
                </a:r>
              </a:p>
            </xdr:txBody>
          </xdr:sp>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8724900" y="2238375"/>
                <a:ext cx="1200150" cy="304800"/>
              </a:xfrm>
              <a:prstGeom prst="rect">
                <a:avLst/>
              </a:prstGeom>
              <a:solidFill>
                <a:srgbClr val="DDDDDD"/>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LOCATION</a:t>
                </a:r>
              </a:p>
            </xdr:txBody>
          </xdr:sp>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10067925" y="2238375"/>
                <a:ext cx="1200150" cy="304800"/>
              </a:xfrm>
              <a:prstGeom prst="rect">
                <a:avLst/>
              </a:prstGeom>
              <a:solidFill>
                <a:srgbClr val="DDDDDD"/>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COUNTRY</a:t>
                </a:r>
              </a:p>
            </xdr:txBody>
          </xdr:sp>
        </xdr:grpSp>
        <xdr:clientData fLocksWithSheet="0"/>
      </xdr:twoCellAnchor>
    </mc:Choice>
    <mc:Fallback/>
  </mc:AlternateContent>
  <xdr:twoCellAnchor>
    <xdr:from>
      <xdr:col>9</xdr:col>
      <xdr:colOff>533401</xdr:colOff>
      <xdr:row>11</xdr:row>
      <xdr:rowOff>28574</xdr:rowOff>
    </xdr:from>
    <xdr:to>
      <xdr:col>18</xdr:col>
      <xdr:colOff>495300</xdr:colOff>
      <xdr:row>29</xdr:row>
      <xdr:rowOff>19050</xdr:rowOff>
    </xdr:to>
    <xdr:sp macro="" textlink="">
      <xdr:nvSpPr>
        <xdr:cNvPr id="10" name="Rectangle: Rounded Corners 9">
          <a:extLst>
            <a:ext uri="{FF2B5EF4-FFF2-40B4-BE49-F238E27FC236}">
              <a16:creationId xmlns:a16="http://schemas.microsoft.com/office/drawing/2014/main" id="{9EC257A1-2C4D-47B6-ACBA-FB7A1AAF7E8B}"/>
            </a:ext>
          </a:extLst>
        </xdr:cNvPr>
        <xdr:cNvSpPr/>
      </xdr:nvSpPr>
      <xdr:spPr>
        <a:xfrm>
          <a:off x="6019801" y="2124074"/>
          <a:ext cx="5448299" cy="3419476"/>
        </a:xfrm>
        <a:prstGeom prst="roundRect">
          <a:avLst>
            <a:gd name="adj" fmla="val 5209"/>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0</xdr:colOff>
      <xdr:row>10</xdr:row>
      <xdr:rowOff>76201</xdr:rowOff>
    </xdr:from>
    <xdr:to>
      <xdr:col>18</xdr:col>
      <xdr:colOff>419100</xdr:colOff>
      <xdr:row>28</xdr:row>
      <xdr:rowOff>152401</xdr:rowOff>
    </xdr:to>
    <xdr:graphicFrame macro="">
      <xdr:nvGraphicFramePr>
        <xdr:cNvPr id="15" name="Chart 14">
          <a:extLst>
            <a:ext uri="{FF2B5EF4-FFF2-40B4-BE49-F238E27FC236}">
              <a16:creationId xmlns:a16="http://schemas.microsoft.com/office/drawing/2014/main" id="{C5D0380A-3B9E-4ED2-9CBD-38DA733E2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7145</xdr:colOff>
      <xdr:row>11</xdr:row>
      <xdr:rowOff>95250</xdr:rowOff>
    </xdr:from>
    <xdr:to>
      <xdr:col>17</xdr:col>
      <xdr:colOff>411956</xdr:colOff>
      <xdr:row>13</xdr:row>
      <xdr:rowOff>76200</xdr:rowOff>
    </xdr:to>
    <xdr:sp macro="" textlink="Analysis!AP39">
      <xdr:nvSpPr>
        <xdr:cNvPr id="17" name="TextBox 16">
          <a:extLst>
            <a:ext uri="{FF2B5EF4-FFF2-40B4-BE49-F238E27FC236}">
              <a16:creationId xmlns:a16="http://schemas.microsoft.com/office/drawing/2014/main" id="{CDE7B417-980E-4A9B-BDB1-FA64EF7080DF}"/>
            </a:ext>
          </a:extLst>
        </xdr:cNvPr>
        <xdr:cNvSpPr txBox="1"/>
      </xdr:nvSpPr>
      <xdr:spPr>
        <a:xfrm>
          <a:off x="6712745" y="2190750"/>
          <a:ext cx="406241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F1B664E-44BD-417F-B8D9-28A413269B4F}" type="TxLink">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pPr marL="0" indent="0" algn="ctr"/>
            <a:t>Top 10 Company with the highest Funds Raised</a:t>
          </a:fld>
          <a:endPar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3</xdr:col>
      <xdr:colOff>323852</xdr:colOff>
      <xdr:row>11</xdr:row>
      <xdr:rowOff>28575</xdr:rowOff>
    </xdr:from>
    <xdr:to>
      <xdr:col>9</xdr:col>
      <xdr:colOff>28576</xdr:colOff>
      <xdr:row>32</xdr:row>
      <xdr:rowOff>161925</xdr:rowOff>
    </xdr:to>
    <xdr:sp macro="" textlink="">
      <xdr:nvSpPr>
        <xdr:cNvPr id="9" name="Rectangle: Rounded Corners 8">
          <a:extLst>
            <a:ext uri="{FF2B5EF4-FFF2-40B4-BE49-F238E27FC236}">
              <a16:creationId xmlns:a16="http://schemas.microsoft.com/office/drawing/2014/main" id="{0AEE3026-2D38-4ABD-8A91-E725265D7180}"/>
            </a:ext>
          </a:extLst>
        </xdr:cNvPr>
        <xdr:cNvSpPr/>
      </xdr:nvSpPr>
      <xdr:spPr>
        <a:xfrm>
          <a:off x="2152652" y="2124075"/>
          <a:ext cx="3362324" cy="4133850"/>
        </a:xfrm>
        <a:prstGeom prst="roundRect">
          <a:avLst>
            <a:gd name="adj" fmla="val 5209"/>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565014</xdr:colOff>
      <xdr:row>16</xdr:row>
      <xdr:rowOff>99404</xdr:rowOff>
    </xdr:from>
    <xdr:to>
      <xdr:col>8</xdr:col>
      <xdr:colOff>397014</xdr:colOff>
      <xdr:row>16</xdr:row>
      <xdr:rowOff>99404</xdr:rowOff>
    </xdr:to>
    <xdr:cxnSp macro="">
      <xdr:nvCxnSpPr>
        <xdr:cNvPr id="20" name="Straight Connector 19">
          <a:extLst>
            <a:ext uri="{FF2B5EF4-FFF2-40B4-BE49-F238E27FC236}">
              <a16:creationId xmlns:a16="http://schemas.microsoft.com/office/drawing/2014/main" id="{4FC5B283-9374-9210-46E9-41018EC2EC85}"/>
            </a:ext>
          </a:extLst>
        </xdr:cNvPr>
        <xdr:cNvCxnSpPr/>
      </xdr:nvCxnSpPr>
      <xdr:spPr>
        <a:xfrm>
          <a:off x="2393814" y="3147404"/>
          <a:ext cx="2880000" cy="0"/>
        </a:xfrm>
        <a:prstGeom prst="line">
          <a:avLst/>
        </a:prstGeom>
        <a:ln w="25400">
          <a:solidFill>
            <a:srgbClr val="F8525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565014</xdr:colOff>
      <xdr:row>22</xdr:row>
      <xdr:rowOff>50259</xdr:rowOff>
    </xdr:from>
    <xdr:to>
      <xdr:col>8</xdr:col>
      <xdr:colOff>397014</xdr:colOff>
      <xdr:row>22</xdr:row>
      <xdr:rowOff>50259</xdr:rowOff>
    </xdr:to>
    <xdr:cxnSp macro="">
      <xdr:nvCxnSpPr>
        <xdr:cNvPr id="21" name="Straight Connector 20">
          <a:extLst>
            <a:ext uri="{FF2B5EF4-FFF2-40B4-BE49-F238E27FC236}">
              <a16:creationId xmlns:a16="http://schemas.microsoft.com/office/drawing/2014/main" id="{31D211A2-9E90-48C4-83E2-4DAF52C84D52}"/>
            </a:ext>
          </a:extLst>
        </xdr:cNvPr>
        <xdr:cNvCxnSpPr/>
      </xdr:nvCxnSpPr>
      <xdr:spPr>
        <a:xfrm>
          <a:off x="2393814" y="4241259"/>
          <a:ext cx="2880000" cy="0"/>
        </a:xfrm>
        <a:prstGeom prst="line">
          <a:avLst/>
        </a:prstGeom>
        <a:ln w="254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251224</xdr:colOff>
      <xdr:row>11</xdr:row>
      <xdr:rowOff>119763</xdr:rowOff>
    </xdr:from>
    <xdr:to>
      <xdr:col>8</xdr:col>
      <xdr:colOff>101204</xdr:colOff>
      <xdr:row>15</xdr:row>
      <xdr:rowOff>148058</xdr:rowOff>
    </xdr:to>
    <xdr:grpSp>
      <xdr:nvGrpSpPr>
        <xdr:cNvPr id="28" name="Group 27">
          <a:extLst>
            <a:ext uri="{FF2B5EF4-FFF2-40B4-BE49-F238E27FC236}">
              <a16:creationId xmlns:a16="http://schemas.microsoft.com/office/drawing/2014/main" id="{078F25E6-0815-AE08-7DF2-C62CFF7897E9}"/>
            </a:ext>
          </a:extLst>
        </xdr:cNvPr>
        <xdr:cNvGrpSpPr/>
      </xdr:nvGrpSpPr>
      <xdr:grpSpPr>
        <a:xfrm>
          <a:off x="2689624" y="2215263"/>
          <a:ext cx="2288380" cy="790295"/>
          <a:chOff x="2636046" y="2209800"/>
          <a:chExt cx="2288380" cy="742950"/>
        </a:xfrm>
      </xdr:grpSpPr>
      <xdr:sp macro="" textlink="Analysis!AP39">
        <xdr:nvSpPr>
          <xdr:cNvPr id="23" name="TextBox 22">
            <a:extLst>
              <a:ext uri="{FF2B5EF4-FFF2-40B4-BE49-F238E27FC236}">
                <a16:creationId xmlns:a16="http://schemas.microsoft.com/office/drawing/2014/main" id="{3604ED79-1798-4E76-A79D-E1BEAEBF3CB6}"/>
              </a:ext>
            </a:extLst>
          </xdr:cNvPr>
          <xdr:cNvSpPr txBox="1"/>
        </xdr:nvSpPr>
        <xdr:spPr>
          <a:xfrm>
            <a:off x="2636046" y="2209800"/>
            <a:ext cx="228838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Total Funds Raised</a:t>
            </a:r>
          </a:p>
        </xdr:txBody>
      </xdr:sp>
      <xdr:sp macro="" textlink="Analysis!D5">
        <xdr:nvSpPr>
          <xdr:cNvPr id="24" name="TextBox 23">
            <a:extLst>
              <a:ext uri="{FF2B5EF4-FFF2-40B4-BE49-F238E27FC236}">
                <a16:creationId xmlns:a16="http://schemas.microsoft.com/office/drawing/2014/main" id="{676DFE8C-2610-495B-AA95-C0FEDF6CA717}"/>
              </a:ext>
            </a:extLst>
          </xdr:cNvPr>
          <xdr:cNvSpPr txBox="1"/>
        </xdr:nvSpPr>
        <xdr:spPr>
          <a:xfrm>
            <a:off x="2636046" y="2495550"/>
            <a:ext cx="22883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9BA263-CCD3-4532-A0A6-2D1601A166E9}" type="TxLink">
              <a:rPr lang="en-US" sz="2800" b="0" i="0" u="none" strike="noStrike">
                <a:solidFill>
                  <a:srgbClr val="F85252"/>
                </a:solidFill>
                <a:latin typeface="Cambria" panose="02040503050406030204" pitchFamily="18" charset="0"/>
                <a:ea typeface="Cambria" panose="02040503050406030204" pitchFamily="18" charset="0"/>
                <a:cs typeface="Arial" panose="020B0604020202020204" pitchFamily="34" charset="0"/>
              </a:rPr>
              <a:pPr marL="0" indent="0" algn="ctr"/>
              <a:t>$440.58B</a:t>
            </a:fld>
            <a:endParaRPr lang="en-US" sz="2800" b="0" i="0" u="none" strike="noStrike">
              <a:solidFill>
                <a:srgbClr val="F85252"/>
              </a:solidFill>
              <a:latin typeface="Cambria" panose="02040503050406030204" pitchFamily="18" charset="0"/>
              <a:ea typeface="Cambria" panose="02040503050406030204" pitchFamily="18" charset="0"/>
              <a:cs typeface="Arial" panose="020B0604020202020204" pitchFamily="34" charset="0"/>
            </a:endParaRPr>
          </a:p>
        </xdr:txBody>
      </xdr:sp>
    </xdr:grpSp>
    <xdr:clientData/>
  </xdr:twoCellAnchor>
  <xdr:twoCellAnchor>
    <xdr:from>
      <xdr:col>4</xdr:col>
      <xdr:colOff>251224</xdr:colOff>
      <xdr:row>17</xdr:row>
      <xdr:rowOff>50753</xdr:rowOff>
    </xdr:from>
    <xdr:to>
      <xdr:col>8</xdr:col>
      <xdr:colOff>101204</xdr:colOff>
      <xdr:row>21</xdr:row>
      <xdr:rowOff>79048</xdr:rowOff>
    </xdr:to>
    <xdr:grpSp>
      <xdr:nvGrpSpPr>
        <xdr:cNvPr id="1037" name="Group 1036">
          <a:extLst>
            <a:ext uri="{FF2B5EF4-FFF2-40B4-BE49-F238E27FC236}">
              <a16:creationId xmlns:a16="http://schemas.microsoft.com/office/drawing/2014/main" id="{5F4EACA4-8839-C562-405A-E348B9EFD6B7}"/>
            </a:ext>
          </a:extLst>
        </xdr:cNvPr>
        <xdr:cNvGrpSpPr/>
      </xdr:nvGrpSpPr>
      <xdr:grpSpPr>
        <a:xfrm>
          <a:off x="2689624" y="3289253"/>
          <a:ext cx="2288380" cy="790295"/>
          <a:chOff x="2607471" y="3219450"/>
          <a:chExt cx="2288380" cy="742950"/>
        </a:xfrm>
      </xdr:grpSpPr>
      <xdr:sp macro="" textlink="Analysis!AP39">
        <xdr:nvSpPr>
          <xdr:cNvPr id="30" name="TextBox 29">
            <a:extLst>
              <a:ext uri="{FF2B5EF4-FFF2-40B4-BE49-F238E27FC236}">
                <a16:creationId xmlns:a16="http://schemas.microsoft.com/office/drawing/2014/main" id="{C430794F-4ECD-8EE4-85B1-021EFAFA20C0}"/>
              </a:ext>
            </a:extLst>
          </xdr:cNvPr>
          <xdr:cNvSpPr txBox="1"/>
        </xdr:nvSpPr>
        <xdr:spPr>
          <a:xfrm>
            <a:off x="2607471" y="3219450"/>
            <a:ext cx="228838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Total Laid</a:t>
            </a:r>
            <a:r>
              <a:rPr lang="en-US" sz="1400" b="0" i="0" u="none" strike="noStrike" baseline="0">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 Offs</a:t>
            </a:r>
            <a:endPar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sp macro="" textlink="Analysis!C5">
        <xdr:nvSpPr>
          <xdr:cNvPr id="31" name="TextBox 30">
            <a:extLst>
              <a:ext uri="{FF2B5EF4-FFF2-40B4-BE49-F238E27FC236}">
                <a16:creationId xmlns:a16="http://schemas.microsoft.com/office/drawing/2014/main" id="{4C716447-0AC6-370D-414C-469156C23B79}"/>
              </a:ext>
            </a:extLst>
          </xdr:cNvPr>
          <xdr:cNvSpPr txBox="1"/>
        </xdr:nvSpPr>
        <xdr:spPr>
          <a:xfrm>
            <a:off x="2607471" y="3505200"/>
            <a:ext cx="22883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7E8631-1F83-4C93-BF6A-FD0BFBA9DF9C}" type="TxLink">
              <a:rPr lang="en-US" sz="28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rPr>
              <a:pPr marL="0" indent="0" algn="ctr"/>
              <a:t>171.73 K</a:t>
            </a:fld>
            <a:endParaRPr lang="en-US" sz="28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endParaRPr>
          </a:p>
        </xdr:txBody>
      </xdr:sp>
    </xdr:grpSp>
    <xdr:clientData/>
  </xdr:twoCellAnchor>
  <xdr:twoCellAnchor>
    <xdr:from>
      <xdr:col>3</xdr:col>
      <xdr:colOff>545964</xdr:colOff>
      <xdr:row>27</xdr:row>
      <xdr:rowOff>131222</xdr:rowOff>
    </xdr:from>
    <xdr:to>
      <xdr:col>8</xdr:col>
      <xdr:colOff>377964</xdr:colOff>
      <xdr:row>27</xdr:row>
      <xdr:rowOff>131222</xdr:rowOff>
    </xdr:to>
    <xdr:cxnSp macro="">
      <xdr:nvCxnSpPr>
        <xdr:cNvPr id="1024" name="Straight Connector 1023">
          <a:extLst>
            <a:ext uri="{FF2B5EF4-FFF2-40B4-BE49-F238E27FC236}">
              <a16:creationId xmlns:a16="http://schemas.microsoft.com/office/drawing/2014/main" id="{557AFE98-BD8B-405B-82FF-2841CBF9A2D0}"/>
            </a:ext>
          </a:extLst>
        </xdr:cNvPr>
        <xdr:cNvCxnSpPr/>
      </xdr:nvCxnSpPr>
      <xdr:spPr>
        <a:xfrm>
          <a:off x="2374764" y="5274722"/>
          <a:ext cx="2880000" cy="0"/>
        </a:xfrm>
        <a:prstGeom prst="line">
          <a:avLst/>
        </a:prstGeom>
        <a:ln w="254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251224</xdr:colOff>
      <xdr:row>22</xdr:row>
      <xdr:rowOff>151979</xdr:rowOff>
    </xdr:from>
    <xdr:to>
      <xdr:col>8</xdr:col>
      <xdr:colOff>101204</xdr:colOff>
      <xdr:row>26</xdr:row>
      <xdr:rowOff>180274</xdr:rowOff>
    </xdr:to>
    <xdr:grpSp>
      <xdr:nvGrpSpPr>
        <xdr:cNvPr id="1036" name="Group 1035">
          <a:extLst>
            <a:ext uri="{FF2B5EF4-FFF2-40B4-BE49-F238E27FC236}">
              <a16:creationId xmlns:a16="http://schemas.microsoft.com/office/drawing/2014/main" id="{A558FD9E-6029-F619-11F3-5D95EFF5C118}"/>
            </a:ext>
          </a:extLst>
        </xdr:cNvPr>
        <xdr:cNvGrpSpPr/>
      </xdr:nvGrpSpPr>
      <xdr:grpSpPr>
        <a:xfrm>
          <a:off x="2689624" y="4342979"/>
          <a:ext cx="2288380" cy="790295"/>
          <a:chOff x="2607471" y="4210050"/>
          <a:chExt cx="2288380" cy="742950"/>
        </a:xfrm>
      </xdr:grpSpPr>
      <xdr:sp macro="" textlink="Analysis!AP39">
        <xdr:nvSpPr>
          <xdr:cNvPr id="1025" name="TextBox 1024">
            <a:extLst>
              <a:ext uri="{FF2B5EF4-FFF2-40B4-BE49-F238E27FC236}">
                <a16:creationId xmlns:a16="http://schemas.microsoft.com/office/drawing/2014/main" id="{8E116732-1EB7-4D2A-B593-22C3B8F32139}"/>
              </a:ext>
            </a:extLst>
          </xdr:cNvPr>
          <xdr:cNvSpPr txBox="1"/>
        </xdr:nvSpPr>
        <xdr:spPr>
          <a:xfrm>
            <a:off x="2607471" y="4210050"/>
            <a:ext cx="228838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Total Company</a:t>
            </a:r>
          </a:p>
        </xdr:txBody>
      </xdr:sp>
      <xdr:sp macro="" textlink="Analysis!E5">
        <xdr:nvSpPr>
          <xdr:cNvPr id="1028" name="TextBox 1027">
            <a:extLst>
              <a:ext uri="{FF2B5EF4-FFF2-40B4-BE49-F238E27FC236}">
                <a16:creationId xmlns:a16="http://schemas.microsoft.com/office/drawing/2014/main" id="{262A8B81-58D8-4E73-AC90-60A63FD36869}"/>
              </a:ext>
            </a:extLst>
          </xdr:cNvPr>
          <xdr:cNvSpPr txBox="1"/>
        </xdr:nvSpPr>
        <xdr:spPr>
          <a:xfrm>
            <a:off x="2607471" y="4495800"/>
            <a:ext cx="22883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63F0DA-F2B3-49B8-9CBE-EBE070DCD21C}" type="TxLink">
              <a:rPr lang="en-US" sz="28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rPr>
              <a:pPr marL="0" indent="0" algn="ctr"/>
              <a:t>811</a:t>
            </a:fld>
            <a:endParaRPr lang="en-US" sz="28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endParaRPr>
          </a:p>
        </xdr:txBody>
      </xdr:sp>
    </xdr:grpSp>
    <xdr:clientData/>
  </xdr:twoCellAnchor>
  <xdr:twoCellAnchor>
    <xdr:from>
      <xdr:col>4</xdr:col>
      <xdr:colOff>251224</xdr:colOff>
      <xdr:row>28</xdr:row>
      <xdr:rowOff>12045</xdr:rowOff>
    </xdr:from>
    <xdr:to>
      <xdr:col>8</xdr:col>
      <xdr:colOff>101204</xdr:colOff>
      <xdr:row>32</xdr:row>
      <xdr:rowOff>40340</xdr:rowOff>
    </xdr:to>
    <xdr:grpSp>
      <xdr:nvGrpSpPr>
        <xdr:cNvPr id="1035" name="Group 1034">
          <a:extLst>
            <a:ext uri="{FF2B5EF4-FFF2-40B4-BE49-F238E27FC236}">
              <a16:creationId xmlns:a16="http://schemas.microsoft.com/office/drawing/2014/main" id="{149D5957-74FA-F628-1625-BD895038DAE4}"/>
            </a:ext>
          </a:extLst>
        </xdr:cNvPr>
        <xdr:cNvGrpSpPr/>
      </xdr:nvGrpSpPr>
      <xdr:grpSpPr>
        <a:xfrm>
          <a:off x="2689624" y="5346045"/>
          <a:ext cx="2288380" cy="790295"/>
          <a:chOff x="2569371" y="5153025"/>
          <a:chExt cx="2288380" cy="742950"/>
        </a:xfrm>
      </xdr:grpSpPr>
      <xdr:sp macro="" textlink="Analysis!AP39">
        <xdr:nvSpPr>
          <xdr:cNvPr id="1029" name="TextBox 1028">
            <a:extLst>
              <a:ext uri="{FF2B5EF4-FFF2-40B4-BE49-F238E27FC236}">
                <a16:creationId xmlns:a16="http://schemas.microsoft.com/office/drawing/2014/main" id="{2499D214-15CD-48D7-A106-B27EAAD80460}"/>
              </a:ext>
            </a:extLst>
          </xdr:cNvPr>
          <xdr:cNvSpPr txBox="1"/>
        </xdr:nvSpPr>
        <xdr:spPr>
          <a:xfrm>
            <a:off x="2569371" y="5153025"/>
            <a:ext cx="228838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Total Industry</a:t>
            </a:r>
          </a:p>
        </xdr:txBody>
      </xdr:sp>
      <xdr:sp macro="" textlink="Analysis!F5">
        <xdr:nvSpPr>
          <xdr:cNvPr id="1034" name="TextBox 1033">
            <a:extLst>
              <a:ext uri="{FF2B5EF4-FFF2-40B4-BE49-F238E27FC236}">
                <a16:creationId xmlns:a16="http://schemas.microsoft.com/office/drawing/2014/main" id="{429614BD-0C14-40DD-9B12-A99B9A4900CD}"/>
              </a:ext>
            </a:extLst>
          </xdr:cNvPr>
          <xdr:cNvSpPr txBox="1"/>
        </xdr:nvSpPr>
        <xdr:spPr>
          <a:xfrm>
            <a:off x="2569371" y="5438775"/>
            <a:ext cx="22883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02D5383-785D-4A32-AF14-45803B7DBB57}" type="TxLink">
              <a:rPr lang="en-US" sz="28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rPr>
              <a:pPr marL="0" indent="0" algn="ctr"/>
              <a:t>31</a:t>
            </a:fld>
            <a:endParaRPr lang="en-US" sz="28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endParaRPr>
          </a:p>
        </xdr:txBody>
      </xdr:sp>
    </xdr:grpSp>
    <xdr:clientData/>
  </xdr:twoCellAnchor>
  <xdr:twoCellAnchor>
    <xdr:from>
      <xdr:col>3</xdr:col>
      <xdr:colOff>180976</xdr:colOff>
      <xdr:row>35</xdr:row>
      <xdr:rowOff>19050</xdr:rowOff>
    </xdr:from>
    <xdr:to>
      <xdr:col>9</xdr:col>
      <xdr:colOff>380999</xdr:colOff>
      <xdr:row>49</xdr:row>
      <xdr:rowOff>85725</xdr:rowOff>
    </xdr:to>
    <xdr:sp macro="" textlink="">
      <xdr:nvSpPr>
        <xdr:cNvPr id="1042" name="Rectangle: Rounded Corners 1041">
          <a:extLst>
            <a:ext uri="{FF2B5EF4-FFF2-40B4-BE49-F238E27FC236}">
              <a16:creationId xmlns:a16="http://schemas.microsoft.com/office/drawing/2014/main" id="{54B8DD6E-DBC0-4415-94CA-5AA873A5CDE0}"/>
            </a:ext>
          </a:extLst>
        </xdr:cNvPr>
        <xdr:cNvSpPr/>
      </xdr:nvSpPr>
      <xdr:spPr>
        <a:xfrm>
          <a:off x="2009776" y="6686550"/>
          <a:ext cx="3857623" cy="2733675"/>
        </a:xfrm>
        <a:prstGeom prst="roundRect">
          <a:avLst>
            <a:gd name="adj" fmla="val 6207"/>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260136</xdr:colOff>
      <xdr:row>36</xdr:row>
      <xdr:rowOff>0</xdr:rowOff>
    </xdr:from>
    <xdr:to>
      <xdr:col>8</xdr:col>
      <xdr:colOff>342899</xdr:colOff>
      <xdr:row>45</xdr:row>
      <xdr:rowOff>133350</xdr:rowOff>
    </xdr:to>
    <xdr:graphicFrame macro="">
      <xdr:nvGraphicFramePr>
        <xdr:cNvPr id="1045" name="Chart 1044">
          <a:extLst>
            <a:ext uri="{FF2B5EF4-FFF2-40B4-BE49-F238E27FC236}">
              <a16:creationId xmlns:a16="http://schemas.microsoft.com/office/drawing/2014/main" id="{FEE081E4-BA4A-42B7-B680-FB874C65F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359571</xdr:colOff>
      <xdr:row>35</xdr:row>
      <xdr:rowOff>76200</xdr:rowOff>
    </xdr:from>
    <xdr:to>
      <xdr:col>9</xdr:col>
      <xdr:colOff>247651</xdr:colOff>
      <xdr:row>37</xdr:row>
      <xdr:rowOff>57150</xdr:rowOff>
    </xdr:to>
    <xdr:sp macro="" textlink="Analysis!AP8">
      <xdr:nvSpPr>
        <xdr:cNvPr id="1046" name="TextBox 1045">
          <a:extLst>
            <a:ext uri="{FF2B5EF4-FFF2-40B4-BE49-F238E27FC236}">
              <a16:creationId xmlns:a16="http://schemas.microsoft.com/office/drawing/2014/main" id="{66696DB3-BA6B-4580-A1D6-7445BFAE8CD3}"/>
            </a:ext>
          </a:extLst>
        </xdr:cNvPr>
        <xdr:cNvSpPr txBox="1"/>
      </xdr:nvSpPr>
      <xdr:spPr>
        <a:xfrm>
          <a:off x="2188371" y="6743700"/>
          <a:ext cx="354568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Company with Funds Raised</a:t>
          </a:r>
        </a:p>
      </xdr:txBody>
    </xdr:sp>
    <xdr:clientData/>
  </xdr:twoCellAnchor>
  <xdr:twoCellAnchor>
    <xdr:from>
      <xdr:col>3</xdr:col>
      <xdr:colOff>292896</xdr:colOff>
      <xdr:row>45</xdr:row>
      <xdr:rowOff>28574</xdr:rowOff>
    </xdr:from>
    <xdr:to>
      <xdr:col>6</xdr:col>
      <xdr:colOff>295275</xdr:colOff>
      <xdr:row>49</xdr:row>
      <xdr:rowOff>95249</xdr:rowOff>
    </xdr:to>
    <xdr:sp macro="" textlink="Analysis!G16">
      <xdr:nvSpPr>
        <xdr:cNvPr id="1047" name="TextBox 1046">
          <a:extLst>
            <a:ext uri="{FF2B5EF4-FFF2-40B4-BE49-F238E27FC236}">
              <a16:creationId xmlns:a16="http://schemas.microsoft.com/office/drawing/2014/main" id="{D113C9AC-9B40-4155-AF99-BB40A73CF354}"/>
            </a:ext>
          </a:extLst>
        </xdr:cNvPr>
        <xdr:cNvSpPr txBox="1"/>
      </xdr:nvSpPr>
      <xdr:spPr>
        <a:xfrm>
          <a:off x="2121696" y="8601074"/>
          <a:ext cx="1831179"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218250-1046-4014-B836-DCE1657AABC7}" type="TxLink">
            <a:rPr lang="en-US" sz="1400" b="0" i="0" u="none" strike="noStrike">
              <a:solidFill>
                <a:srgbClr val="F97373"/>
              </a:solidFill>
              <a:latin typeface="Cambria" panose="02040503050406030204" pitchFamily="18" charset="0"/>
              <a:ea typeface="Cambria" panose="02040503050406030204" pitchFamily="18" charset="0"/>
              <a:cs typeface="Arial" panose="020B0604020202020204" pitchFamily="34" charset="0"/>
            </a:rPr>
            <a:pPr marL="0" indent="0" algn="ctr"/>
            <a:t>750 Companies raised funds </a:t>
          </a:fld>
          <a:endParaRPr lang="en-US" sz="1400" b="0" i="0" u="none" strike="noStrike">
            <a:solidFill>
              <a:srgbClr val="F97373"/>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6</xdr:col>
      <xdr:colOff>321471</xdr:colOff>
      <xdr:row>45</xdr:row>
      <xdr:rowOff>28574</xdr:rowOff>
    </xdr:from>
    <xdr:to>
      <xdr:col>9</xdr:col>
      <xdr:colOff>323850</xdr:colOff>
      <xdr:row>49</xdr:row>
      <xdr:rowOff>95249</xdr:rowOff>
    </xdr:to>
    <xdr:sp macro="" textlink="Analysis!G17">
      <xdr:nvSpPr>
        <xdr:cNvPr id="1048" name="TextBox 1047">
          <a:extLst>
            <a:ext uri="{FF2B5EF4-FFF2-40B4-BE49-F238E27FC236}">
              <a16:creationId xmlns:a16="http://schemas.microsoft.com/office/drawing/2014/main" id="{D5A8BBC8-901C-49DE-8E30-BA132EF934B5}"/>
            </a:ext>
          </a:extLst>
        </xdr:cNvPr>
        <xdr:cNvSpPr txBox="1"/>
      </xdr:nvSpPr>
      <xdr:spPr>
        <a:xfrm>
          <a:off x="3979071" y="8601074"/>
          <a:ext cx="1831179"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C24D435-274C-479E-97BC-FF816C38ADBF}" type="TxLink">
            <a:rPr lang="en-US" sz="14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rPr>
            <a:pPr marL="0" indent="0" algn="ctr"/>
            <a:t>64 Companies is wriiten NULL (No Input)</a:t>
          </a:fld>
          <a:endParaRPr lang="en-US" sz="14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19</xdr:col>
      <xdr:colOff>47626</xdr:colOff>
      <xdr:row>39</xdr:row>
      <xdr:rowOff>123825</xdr:rowOff>
    </xdr:from>
    <xdr:to>
      <xdr:col>25</xdr:col>
      <xdr:colOff>552450</xdr:colOff>
      <xdr:row>49</xdr:row>
      <xdr:rowOff>85726</xdr:rowOff>
    </xdr:to>
    <xdr:sp macro="" textlink="">
      <xdr:nvSpPr>
        <xdr:cNvPr id="1049" name="Rectangle: Rounded Corners 1048">
          <a:extLst>
            <a:ext uri="{FF2B5EF4-FFF2-40B4-BE49-F238E27FC236}">
              <a16:creationId xmlns:a16="http://schemas.microsoft.com/office/drawing/2014/main" id="{A7F86328-07F2-4641-A63E-CA2022F4AE77}"/>
            </a:ext>
          </a:extLst>
        </xdr:cNvPr>
        <xdr:cNvSpPr/>
      </xdr:nvSpPr>
      <xdr:spPr>
        <a:xfrm>
          <a:off x="11630026" y="7553325"/>
          <a:ext cx="4162424" cy="1866901"/>
        </a:xfrm>
        <a:prstGeom prst="roundRect">
          <a:avLst>
            <a:gd name="adj" fmla="val 6207"/>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161925</xdr:colOff>
      <xdr:row>39</xdr:row>
      <xdr:rowOff>76200</xdr:rowOff>
    </xdr:from>
    <xdr:to>
      <xdr:col>22</xdr:col>
      <xdr:colOff>447674</xdr:colOff>
      <xdr:row>49</xdr:row>
      <xdr:rowOff>180975</xdr:rowOff>
    </xdr:to>
    <xdr:graphicFrame macro="">
      <xdr:nvGraphicFramePr>
        <xdr:cNvPr id="1050" name="Chart 1049">
          <a:extLst>
            <a:ext uri="{FF2B5EF4-FFF2-40B4-BE49-F238E27FC236}">
              <a16:creationId xmlns:a16="http://schemas.microsoft.com/office/drawing/2014/main" id="{B5DBEF18-D7AF-4C42-8965-5BF3D75A5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145914</xdr:colOff>
      <xdr:row>45</xdr:row>
      <xdr:rowOff>180599</xdr:rowOff>
    </xdr:from>
    <xdr:to>
      <xdr:col>25</xdr:col>
      <xdr:colOff>441114</xdr:colOff>
      <xdr:row>45</xdr:row>
      <xdr:rowOff>180599</xdr:rowOff>
    </xdr:to>
    <xdr:cxnSp macro="">
      <xdr:nvCxnSpPr>
        <xdr:cNvPr id="1051" name="Straight Connector 1050">
          <a:extLst>
            <a:ext uri="{FF2B5EF4-FFF2-40B4-BE49-F238E27FC236}">
              <a16:creationId xmlns:a16="http://schemas.microsoft.com/office/drawing/2014/main" id="{BF20D21C-BEA0-464F-8667-617824443F3D}"/>
            </a:ext>
          </a:extLst>
        </xdr:cNvPr>
        <xdr:cNvCxnSpPr/>
      </xdr:nvCxnSpPr>
      <xdr:spPr>
        <a:xfrm>
          <a:off x="13557114" y="8753099"/>
          <a:ext cx="2124000" cy="0"/>
        </a:xfrm>
        <a:prstGeom prst="line">
          <a:avLst/>
        </a:prstGeom>
        <a:ln w="254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54771</xdr:colOff>
      <xdr:row>42</xdr:row>
      <xdr:rowOff>152400</xdr:rowOff>
    </xdr:from>
    <xdr:to>
      <xdr:col>25</xdr:col>
      <xdr:colOff>495300</xdr:colOff>
      <xdr:row>45</xdr:row>
      <xdr:rowOff>180976</xdr:rowOff>
    </xdr:to>
    <xdr:sp macro="" textlink="Analysis!D17">
      <xdr:nvSpPr>
        <xdr:cNvPr id="1052" name="TextBox 1051">
          <a:extLst>
            <a:ext uri="{FF2B5EF4-FFF2-40B4-BE49-F238E27FC236}">
              <a16:creationId xmlns:a16="http://schemas.microsoft.com/office/drawing/2014/main" id="{D9159BA7-1144-40A0-A16D-128B580A9B6C}"/>
            </a:ext>
          </a:extLst>
        </xdr:cNvPr>
        <xdr:cNvSpPr txBox="1"/>
      </xdr:nvSpPr>
      <xdr:spPr>
        <a:xfrm>
          <a:off x="13465971" y="8153400"/>
          <a:ext cx="2269329"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75F383C-6776-41E1-86AF-7D289267A6E3}" type="TxLink">
            <a:rPr lang="en-US" sz="1400" b="0" i="0" u="none" strike="noStrike">
              <a:solidFill>
                <a:srgbClr val="F97373"/>
              </a:solidFill>
              <a:latin typeface="Cambria" panose="02040503050406030204" pitchFamily="18" charset="0"/>
              <a:ea typeface="Cambria" panose="02040503050406030204" pitchFamily="18" charset="0"/>
              <a:cs typeface="Arial" panose="020B0604020202020204" pitchFamily="34" charset="0"/>
            </a:rPr>
            <a:pPr marL="0" indent="0" algn="ctr"/>
            <a:t>587 Companies laid off employees</a:t>
          </a:fld>
          <a:endParaRPr lang="en-US" sz="1400" b="0" i="0" u="none" strike="noStrike">
            <a:solidFill>
              <a:srgbClr val="F97373"/>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22</xdr:col>
      <xdr:colOff>54771</xdr:colOff>
      <xdr:row>46</xdr:row>
      <xdr:rowOff>76200</xdr:rowOff>
    </xdr:from>
    <xdr:to>
      <xdr:col>25</xdr:col>
      <xdr:colOff>495300</xdr:colOff>
      <xdr:row>49</xdr:row>
      <xdr:rowOff>104776</xdr:rowOff>
    </xdr:to>
    <xdr:sp macro="" textlink="Analysis!D18">
      <xdr:nvSpPr>
        <xdr:cNvPr id="1053" name="TextBox 1052">
          <a:extLst>
            <a:ext uri="{FF2B5EF4-FFF2-40B4-BE49-F238E27FC236}">
              <a16:creationId xmlns:a16="http://schemas.microsoft.com/office/drawing/2014/main" id="{F1C92F0B-EA4D-4AFC-A4A6-CA0528C0A586}"/>
            </a:ext>
          </a:extLst>
        </xdr:cNvPr>
        <xdr:cNvSpPr txBox="1"/>
      </xdr:nvSpPr>
      <xdr:spPr>
        <a:xfrm>
          <a:off x="13465971" y="8839200"/>
          <a:ext cx="2269329"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E80F33-8968-4C95-B4C2-CC4E7CFB05D8}" type="TxLink">
            <a:rPr lang="en-US" sz="14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rPr>
            <a:pPr marL="0" indent="0" algn="ctr"/>
            <a:t>278 Companies is wriiten NULL (No Input)</a:t>
          </a:fld>
          <a:endParaRPr lang="en-US" sz="1400" b="0" i="0" u="none" strike="noStrike">
            <a:solidFill>
              <a:schemeClr val="bg1">
                <a:lumMod val="7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22</xdr:col>
      <xdr:colOff>92871</xdr:colOff>
      <xdr:row>39</xdr:row>
      <xdr:rowOff>161925</xdr:rowOff>
    </xdr:from>
    <xdr:to>
      <xdr:col>25</xdr:col>
      <xdr:colOff>295275</xdr:colOff>
      <xdr:row>41</xdr:row>
      <xdr:rowOff>142875</xdr:rowOff>
    </xdr:to>
    <xdr:sp macro="" textlink="Analysis!AP8">
      <xdr:nvSpPr>
        <xdr:cNvPr id="1054" name="TextBox 1053">
          <a:extLst>
            <a:ext uri="{FF2B5EF4-FFF2-40B4-BE49-F238E27FC236}">
              <a16:creationId xmlns:a16="http://schemas.microsoft.com/office/drawing/2014/main" id="{B0CF8454-6AEF-45D9-BB2F-66FD16FDE03C}"/>
            </a:ext>
          </a:extLst>
        </xdr:cNvPr>
        <xdr:cNvSpPr txBox="1"/>
      </xdr:nvSpPr>
      <xdr:spPr>
        <a:xfrm>
          <a:off x="13504071" y="7591425"/>
          <a:ext cx="203120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Company with Laid</a:t>
          </a:r>
          <a:r>
            <a:rPr lang="en-US" sz="1400" b="0" i="0" u="none" strike="noStrike" baseline="0">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 Offs</a:t>
          </a:r>
          <a:endPar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editAs="oneCell">
    <xdr:from>
      <xdr:col>9</xdr:col>
      <xdr:colOff>476249</xdr:colOff>
      <xdr:row>4</xdr:row>
      <xdr:rowOff>76200</xdr:rowOff>
    </xdr:from>
    <xdr:to>
      <xdr:col>18</xdr:col>
      <xdr:colOff>387825</xdr:colOff>
      <xdr:row>7</xdr:row>
      <xdr:rowOff>38100</xdr:rowOff>
    </xdr:to>
    <mc:AlternateContent xmlns:mc="http://schemas.openxmlformats.org/markup-compatibility/2006" xmlns:a14="http://schemas.microsoft.com/office/drawing/2010/main">
      <mc:Choice Requires="a14">
        <xdr:graphicFrame macro="">
          <xdr:nvGraphicFramePr>
            <xdr:cNvPr id="1055" name="Year">
              <a:extLst>
                <a:ext uri="{FF2B5EF4-FFF2-40B4-BE49-F238E27FC236}">
                  <a16:creationId xmlns:a16="http://schemas.microsoft.com/office/drawing/2014/main" id="{9CB05DA4-D171-464A-983E-F07009161E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62649" y="838200"/>
              <a:ext cx="5397976"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419102</xdr:colOff>
      <xdr:row>11</xdr:row>
      <xdr:rowOff>19050</xdr:rowOff>
    </xdr:from>
    <xdr:to>
      <xdr:col>3</xdr:col>
      <xdr:colOff>47626</xdr:colOff>
      <xdr:row>33</xdr:row>
      <xdr:rowOff>28575</xdr:rowOff>
    </xdr:to>
    <xdr:sp macro="" textlink="">
      <xdr:nvSpPr>
        <xdr:cNvPr id="8" name="Rectangle: Rounded Corners 7">
          <a:extLst>
            <a:ext uri="{FF2B5EF4-FFF2-40B4-BE49-F238E27FC236}">
              <a16:creationId xmlns:a16="http://schemas.microsoft.com/office/drawing/2014/main" id="{D1BD976C-572B-40CE-BFDE-5ABF066717AF}"/>
            </a:ext>
          </a:extLst>
        </xdr:cNvPr>
        <xdr:cNvSpPr/>
      </xdr:nvSpPr>
      <xdr:spPr>
        <a:xfrm>
          <a:off x="1028702" y="2114550"/>
          <a:ext cx="847724" cy="4200525"/>
        </a:xfrm>
        <a:prstGeom prst="roundRect">
          <a:avLst>
            <a:gd name="adj" fmla="val 28805"/>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523536</xdr:colOff>
      <xdr:row>11</xdr:row>
      <xdr:rowOff>123825</xdr:rowOff>
    </xdr:from>
    <xdr:to>
      <xdr:col>2</xdr:col>
      <xdr:colOff>552792</xdr:colOff>
      <xdr:row>15</xdr:row>
      <xdr:rowOff>681</xdr:rowOff>
    </xdr:to>
    <xdr:pic>
      <xdr:nvPicPr>
        <xdr:cNvPr id="1059" name="Picture 1058">
          <a:hlinkClick xmlns:r="http://schemas.openxmlformats.org/officeDocument/2006/relationships" r:id="rId7"/>
          <a:extLst>
            <a:ext uri="{FF2B5EF4-FFF2-40B4-BE49-F238E27FC236}">
              <a16:creationId xmlns:a16="http://schemas.microsoft.com/office/drawing/2014/main" id="{AAB8C3F4-F3A2-5CEC-9C91-DE2AE3550BE2}"/>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a:off x="1133136" y="2219325"/>
          <a:ext cx="638856" cy="638856"/>
        </a:xfrm>
        <a:prstGeom prst="rect">
          <a:avLst/>
        </a:prstGeom>
      </xdr:spPr>
    </xdr:pic>
    <xdr:clientData fLocksWithSheet="0"/>
  </xdr:twoCellAnchor>
  <xdr:twoCellAnchor>
    <xdr:from>
      <xdr:col>1</xdr:col>
      <xdr:colOff>514059</xdr:colOff>
      <xdr:row>20</xdr:row>
      <xdr:rowOff>36301</xdr:rowOff>
    </xdr:from>
    <xdr:to>
      <xdr:col>2</xdr:col>
      <xdr:colOff>600075</xdr:colOff>
      <xdr:row>23</xdr:row>
      <xdr:rowOff>160417</xdr:rowOff>
    </xdr:to>
    <xdr:pic>
      <xdr:nvPicPr>
        <xdr:cNvPr id="1062" name="Picture 1061">
          <a:hlinkClick xmlns:r="http://schemas.openxmlformats.org/officeDocument/2006/relationships" r:id="rId10"/>
          <a:extLst>
            <a:ext uri="{FF2B5EF4-FFF2-40B4-BE49-F238E27FC236}">
              <a16:creationId xmlns:a16="http://schemas.microsoft.com/office/drawing/2014/main" id="{D454140B-CDA8-3AAB-BF14-CD1F3292AD08}"/>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flipH="1">
          <a:off x="1123659" y="3846301"/>
          <a:ext cx="695616" cy="695616"/>
        </a:xfrm>
        <a:prstGeom prst="rect">
          <a:avLst/>
        </a:prstGeom>
      </xdr:spPr>
    </xdr:pic>
    <xdr:clientData fLocksWithSheet="0"/>
  </xdr:twoCellAnchor>
  <xdr:twoCellAnchor>
    <xdr:from>
      <xdr:col>1</xdr:col>
      <xdr:colOff>485775</xdr:colOff>
      <xdr:row>24</xdr:row>
      <xdr:rowOff>132596</xdr:rowOff>
    </xdr:from>
    <xdr:to>
      <xdr:col>3</xdr:col>
      <xdr:colOff>8914</xdr:colOff>
      <xdr:row>28</xdr:row>
      <xdr:rowOff>112935</xdr:rowOff>
    </xdr:to>
    <xdr:pic>
      <xdr:nvPicPr>
        <xdr:cNvPr id="1064" name="Picture 1063">
          <a:hlinkClick xmlns:r="http://schemas.openxmlformats.org/officeDocument/2006/relationships" r:id="rId13"/>
          <a:extLst>
            <a:ext uri="{FF2B5EF4-FFF2-40B4-BE49-F238E27FC236}">
              <a16:creationId xmlns:a16="http://schemas.microsoft.com/office/drawing/2014/main" id="{BCC71503-4D91-7606-F8DE-2010919A725D}"/>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a:off x="1095375" y="4704596"/>
          <a:ext cx="742339" cy="742339"/>
        </a:xfrm>
        <a:prstGeom prst="rect">
          <a:avLst/>
        </a:prstGeom>
      </xdr:spPr>
    </xdr:pic>
    <xdr:clientData fLocksWithSheet="0"/>
  </xdr:twoCellAnchor>
  <xdr:twoCellAnchor>
    <xdr:from>
      <xdr:col>1</xdr:col>
      <xdr:colOff>523874</xdr:colOff>
      <xdr:row>29</xdr:row>
      <xdr:rowOff>85114</xdr:rowOff>
    </xdr:from>
    <xdr:to>
      <xdr:col>2</xdr:col>
      <xdr:colOff>542925</xdr:colOff>
      <xdr:row>32</xdr:row>
      <xdr:rowOff>142265</xdr:rowOff>
    </xdr:to>
    <xdr:pic macro="[0]!reset">
      <xdr:nvPicPr>
        <xdr:cNvPr id="1067" name="Picture 1066">
          <a:extLst>
            <a:ext uri="{FF2B5EF4-FFF2-40B4-BE49-F238E27FC236}">
              <a16:creationId xmlns:a16="http://schemas.microsoft.com/office/drawing/2014/main" id="{25E8BD9C-8B30-D9AE-F41D-FF67FBE87156}"/>
            </a:ext>
          </a:extLst>
        </xdr:cNvPr>
        <xdr:cNvPicPr>
          <a:picLocks noChangeAspect="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tretch>
          <a:fillRect/>
        </a:stretch>
      </xdr:blipFill>
      <xdr:spPr>
        <a:xfrm>
          <a:off x="1133474" y="5609614"/>
          <a:ext cx="628651" cy="628651"/>
        </a:xfrm>
        <a:prstGeom prst="rect">
          <a:avLst/>
        </a:prstGeom>
      </xdr:spPr>
    </xdr:pic>
    <xdr:clientData fLocksWithSheet="0"/>
  </xdr:twoCellAnchor>
  <xdr:twoCellAnchor>
    <xdr:from>
      <xdr:col>1</xdr:col>
      <xdr:colOff>511583</xdr:colOff>
      <xdr:row>15</xdr:row>
      <xdr:rowOff>163360</xdr:rowOff>
    </xdr:from>
    <xdr:to>
      <xdr:col>2</xdr:col>
      <xdr:colOff>564745</xdr:colOff>
      <xdr:row>19</xdr:row>
      <xdr:rowOff>64122</xdr:rowOff>
    </xdr:to>
    <xdr:pic>
      <xdr:nvPicPr>
        <xdr:cNvPr id="1069" name="Picture 1068">
          <a:extLst>
            <a:ext uri="{FF2B5EF4-FFF2-40B4-BE49-F238E27FC236}">
              <a16:creationId xmlns:a16="http://schemas.microsoft.com/office/drawing/2014/main" id="{D2E17FC1-BB47-147D-CEBE-A97604F321FA}"/>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1121183" y="3020860"/>
          <a:ext cx="662762" cy="662762"/>
        </a:xfrm>
        <a:prstGeom prst="rect">
          <a:avLst/>
        </a:prstGeom>
      </xdr:spPr>
    </xdr:pic>
    <xdr:clientData/>
  </xdr:twoCellAnchor>
  <xdr:twoCellAnchor>
    <xdr:from>
      <xdr:col>1</xdr:col>
      <xdr:colOff>542925</xdr:colOff>
      <xdr:row>4</xdr:row>
      <xdr:rowOff>57150</xdr:rowOff>
    </xdr:from>
    <xdr:to>
      <xdr:col>8</xdr:col>
      <xdr:colOff>523875</xdr:colOff>
      <xdr:row>9</xdr:row>
      <xdr:rowOff>123825</xdr:rowOff>
    </xdr:to>
    <xdr:grpSp>
      <xdr:nvGrpSpPr>
        <xdr:cNvPr id="1072" name="Group 1071">
          <a:extLst>
            <a:ext uri="{FF2B5EF4-FFF2-40B4-BE49-F238E27FC236}">
              <a16:creationId xmlns:a16="http://schemas.microsoft.com/office/drawing/2014/main" id="{CB48213B-ED83-1C43-6424-D3BD59C392CE}"/>
            </a:ext>
          </a:extLst>
        </xdr:cNvPr>
        <xdr:cNvGrpSpPr/>
      </xdr:nvGrpSpPr>
      <xdr:grpSpPr>
        <a:xfrm>
          <a:off x="1152525" y="819150"/>
          <a:ext cx="4248150" cy="1019175"/>
          <a:chOff x="1200150" y="819150"/>
          <a:chExt cx="4248150" cy="1019175"/>
        </a:xfrm>
      </xdr:grpSpPr>
      <xdr:sp macro="" textlink="Analysis!M34">
        <xdr:nvSpPr>
          <xdr:cNvPr id="1057" name="TextBox 1056">
            <a:extLst>
              <a:ext uri="{FF2B5EF4-FFF2-40B4-BE49-F238E27FC236}">
                <a16:creationId xmlns:a16="http://schemas.microsoft.com/office/drawing/2014/main" id="{DF03E734-DD9C-448D-B7AE-5BF2584F9815}"/>
              </a:ext>
            </a:extLst>
          </xdr:cNvPr>
          <xdr:cNvSpPr txBox="1"/>
        </xdr:nvSpPr>
        <xdr:spPr>
          <a:xfrm>
            <a:off x="1200150" y="819150"/>
            <a:ext cx="424815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a:solidFill>
                  <a:srgbClr val="F85252"/>
                </a:solidFill>
                <a:latin typeface="Cambria" panose="02040503050406030204" pitchFamily="18" charset="0"/>
                <a:ea typeface="Cambria" panose="02040503050406030204" pitchFamily="18" charset="0"/>
              </a:rPr>
              <a:t>Global Workforce Layoff Intelligence Dashboard</a:t>
            </a:r>
            <a:endParaRPr lang="en-US" sz="1800" b="1" i="0" u="none" strike="noStrike">
              <a:solidFill>
                <a:srgbClr val="F85252"/>
              </a:solidFill>
              <a:latin typeface="Cambria" panose="02040503050406030204" pitchFamily="18" charset="0"/>
              <a:ea typeface="Cambria" panose="02040503050406030204" pitchFamily="18" charset="0"/>
              <a:cs typeface="Arial" panose="020B0604020202020204" pitchFamily="34" charset="0"/>
            </a:endParaRPr>
          </a:p>
        </xdr:txBody>
      </xdr:sp>
      <xdr:sp macro="" textlink="Analysis!M34">
        <xdr:nvSpPr>
          <xdr:cNvPr id="1071" name="TextBox 1070">
            <a:extLst>
              <a:ext uri="{FF2B5EF4-FFF2-40B4-BE49-F238E27FC236}">
                <a16:creationId xmlns:a16="http://schemas.microsoft.com/office/drawing/2014/main" id="{32AFDEC5-A0C2-4E21-A83D-2683898E817B}"/>
              </a:ext>
            </a:extLst>
          </xdr:cNvPr>
          <xdr:cNvSpPr txBox="1"/>
        </xdr:nvSpPr>
        <xdr:spPr>
          <a:xfrm>
            <a:off x="1700213" y="1352550"/>
            <a:ext cx="32480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85000"/>
                  </a:schemeClr>
                </a:solidFill>
                <a:latin typeface="Cambria" panose="02040503050406030204" pitchFamily="18" charset="0"/>
                <a:ea typeface="Cambria" panose="02040503050406030204" pitchFamily="18" charset="0"/>
              </a:rPr>
              <a:t>by Godwin Thompson</a:t>
            </a:r>
          </a:p>
        </xdr:txBody>
      </xdr:sp>
    </xdr:grpSp>
    <xdr:clientData/>
  </xdr:twoCellAnchor>
  <xdr:twoCellAnchor>
    <xdr:from>
      <xdr:col>25</xdr:col>
      <xdr:colOff>95250</xdr:colOff>
      <xdr:row>4</xdr:row>
      <xdr:rowOff>66675</xdr:rowOff>
    </xdr:from>
    <xdr:to>
      <xdr:col>25</xdr:col>
      <xdr:colOff>495300</xdr:colOff>
      <xdr:row>6</xdr:row>
      <xdr:rowOff>85725</xdr:rowOff>
    </xdr:to>
    <xdr:sp macro="" textlink="">
      <xdr:nvSpPr>
        <xdr:cNvPr id="1073" name="Oval 1072">
          <a:extLst>
            <a:ext uri="{FF2B5EF4-FFF2-40B4-BE49-F238E27FC236}">
              <a16:creationId xmlns:a16="http://schemas.microsoft.com/office/drawing/2014/main" id="{890BC45B-539B-94E2-F7BE-BA860B19D3DF}"/>
            </a:ext>
          </a:extLst>
        </xdr:cNvPr>
        <xdr:cNvSpPr/>
      </xdr:nvSpPr>
      <xdr:spPr>
        <a:xfrm>
          <a:off x="15335250" y="828675"/>
          <a:ext cx="400050" cy="400050"/>
        </a:xfrm>
        <a:prstGeom prst="ellipse">
          <a:avLst/>
        </a:prstGeom>
        <a:solidFill>
          <a:srgbClr val="F8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257175</xdr:colOff>
      <xdr:row>3</xdr:row>
      <xdr:rowOff>114300</xdr:rowOff>
    </xdr:from>
    <xdr:to>
      <xdr:col>26</xdr:col>
      <xdr:colOff>57150</xdr:colOff>
      <xdr:row>43</xdr:row>
      <xdr:rowOff>85725</xdr:rowOff>
    </xdr:to>
    <xdr:sp macro="" textlink="">
      <xdr:nvSpPr>
        <xdr:cNvPr id="2" name="Rectangle: Rounded Corners 1">
          <a:extLst>
            <a:ext uri="{FF2B5EF4-FFF2-40B4-BE49-F238E27FC236}">
              <a16:creationId xmlns:a16="http://schemas.microsoft.com/office/drawing/2014/main" id="{CDD7C95C-54CA-4794-99B1-0F7B273DACD1}"/>
            </a:ext>
          </a:extLst>
        </xdr:cNvPr>
        <xdr:cNvSpPr/>
      </xdr:nvSpPr>
      <xdr:spPr>
        <a:xfrm>
          <a:off x="866775" y="685800"/>
          <a:ext cx="15039975" cy="7591425"/>
        </a:xfrm>
        <a:prstGeom prst="roundRect">
          <a:avLst>
            <a:gd name="adj" fmla="val 219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280988</xdr:colOff>
      <xdr:row>7</xdr:row>
      <xdr:rowOff>57150</xdr:rowOff>
    </xdr:from>
    <xdr:to>
      <xdr:col>13</xdr:col>
      <xdr:colOff>423862</xdr:colOff>
      <xdr:row>30</xdr:row>
      <xdr:rowOff>161925</xdr:rowOff>
    </xdr:to>
    <xdr:grpSp>
      <xdr:nvGrpSpPr>
        <xdr:cNvPr id="12" name="Group 11">
          <a:extLst>
            <a:ext uri="{FF2B5EF4-FFF2-40B4-BE49-F238E27FC236}">
              <a16:creationId xmlns:a16="http://schemas.microsoft.com/office/drawing/2014/main" id="{ED099D5C-3BC6-9931-BBBA-14461568B59D}"/>
            </a:ext>
          </a:extLst>
        </xdr:cNvPr>
        <xdr:cNvGrpSpPr/>
      </xdr:nvGrpSpPr>
      <xdr:grpSpPr>
        <a:xfrm>
          <a:off x="3328988" y="1390650"/>
          <a:ext cx="5019674" cy="4486275"/>
          <a:chOff x="3128963" y="1390650"/>
          <a:chExt cx="5019674" cy="4486275"/>
        </a:xfrm>
      </xdr:grpSpPr>
      <xdr:sp macro="" textlink="Analysis!M34">
        <xdr:nvSpPr>
          <xdr:cNvPr id="3" name="TextBox 2">
            <a:extLst>
              <a:ext uri="{FF2B5EF4-FFF2-40B4-BE49-F238E27FC236}">
                <a16:creationId xmlns:a16="http://schemas.microsoft.com/office/drawing/2014/main" id="{60A380B0-3ACD-47FD-B0D3-508F4E4BABBD}"/>
              </a:ext>
            </a:extLst>
          </xdr:cNvPr>
          <xdr:cNvSpPr txBox="1"/>
        </xdr:nvSpPr>
        <xdr:spPr>
          <a:xfrm>
            <a:off x="3228975" y="1390650"/>
            <a:ext cx="481965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a:solidFill>
                  <a:srgbClr val="F85252"/>
                </a:solidFill>
                <a:latin typeface="Cambria" panose="02040503050406030204" pitchFamily="18" charset="0"/>
                <a:ea typeface="Cambria" panose="02040503050406030204" pitchFamily="18" charset="0"/>
              </a:rPr>
              <a:t>INSIGHTS </a:t>
            </a:r>
            <a:endParaRPr lang="en-US" sz="2800" b="1" i="0" u="none" strike="noStrike">
              <a:solidFill>
                <a:srgbClr val="F85252"/>
              </a:solidFill>
              <a:latin typeface="Cambria" panose="02040503050406030204" pitchFamily="18" charset="0"/>
              <a:ea typeface="Cambria" panose="02040503050406030204" pitchFamily="18"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437FA428-D118-4E35-9755-A1105BBB45E9}"/>
              </a:ext>
            </a:extLst>
          </xdr:cNvPr>
          <xdr:cNvSpPr txBox="1"/>
        </xdr:nvSpPr>
        <xdr:spPr>
          <a:xfrm>
            <a:off x="3128963" y="2276475"/>
            <a:ext cx="5019674" cy="3600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a:solidFill>
                  <a:schemeClr val="bg1">
                    <a:lumMod val="85000"/>
                  </a:schemeClr>
                </a:solidFill>
                <a:latin typeface="Cambria" panose="02040503050406030204" pitchFamily="18" charset="0"/>
                <a:ea typeface="Cambria" panose="02040503050406030204" pitchFamily="18" charset="0"/>
              </a:rPr>
              <a:t>1.</a:t>
            </a:r>
            <a:r>
              <a:rPr lang="en-US" sz="1400" baseline="0">
                <a:solidFill>
                  <a:schemeClr val="bg1">
                    <a:lumMod val="85000"/>
                  </a:schemeClr>
                </a:solidFill>
                <a:latin typeface="Cambria" panose="02040503050406030204" pitchFamily="18" charset="0"/>
                <a:ea typeface="Cambria" panose="02040503050406030204" pitchFamily="18" charset="0"/>
              </a:rPr>
              <a:t> </a:t>
            </a: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Assessed raw dataset to understand structure, quality, and data gaps. </a:t>
            </a:r>
            <a:r>
              <a:rPr lang="en-US" sz="1400">
                <a:solidFill>
                  <a:schemeClr val="bg1">
                    <a:lumMod val="85000"/>
                  </a:schemeClr>
                </a:solidFill>
                <a:latin typeface="Cambria" panose="02040503050406030204" pitchFamily="18" charset="0"/>
                <a:ea typeface="Cambria" panose="02040503050406030204" pitchFamily="18" charset="0"/>
              </a:rPr>
              <a:t>That gap tells us most companies are making </a:t>
            </a:r>
            <a:r>
              <a:rPr lang="en-US" sz="1400" b="1">
                <a:solidFill>
                  <a:schemeClr val="bg1">
                    <a:lumMod val="85000"/>
                  </a:schemeClr>
                </a:solidFill>
                <a:latin typeface="Cambria" panose="02040503050406030204" pitchFamily="18" charset="0"/>
                <a:ea typeface="Cambria" panose="02040503050406030204" pitchFamily="18" charset="0"/>
              </a:rPr>
              <a:t>moderate cuts</a:t>
            </a:r>
            <a:r>
              <a:rPr lang="en-US" sz="1400">
                <a:solidFill>
                  <a:schemeClr val="bg1">
                    <a:lumMod val="85000"/>
                  </a:schemeClr>
                </a:solidFill>
                <a:latin typeface="Cambria" panose="02040503050406030204" pitchFamily="18" charset="0"/>
                <a:ea typeface="Cambria" panose="02040503050406030204" pitchFamily="18" charset="0"/>
              </a:rPr>
              <a:t>, while a small number are responsible for </a:t>
            </a:r>
            <a:r>
              <a:rPr lang="en-US" sz="1400" b="1">
                <a:solidFill>
                  <a:schemeClr val="bg1">
                    <a:lumMod val="85000"/>
                  </a:schemeClr>
                </a:solidFill>
                <a:latin typeface="Cambria" panose="02040503050406030204" pitchFamily="18" charset="0"/>
                <a:ea typeface="Cambria" panose="02040503050406030204" pitchFamily="18" charset="0"/>
              </a:rPr>
              <a:t>massive reductions.</a:t>
            </a:r>
            <a:endPar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endParaRPr>
          </a:p>
          <a:p>
            <a:endParaRPr lang="en-US" sz="1400">
              <a:solidFill>
                <a:schemeClr val="bg1">
                  <a:lumMod val="85000"/>
                </a:schemeClr>
              </a:solidFill>
              <a:latin typeface="Cambria" panose="02040503050406030204" pitchFamily="18" charset="0"/>
              <a:ea typeface="Cambria" panose="02040503050406030204" pitchFamily="18" charset="0"/>
            </a:endParaRPr>
          </a:p>
          <a:p>
            <a:r>
              <a:rPr lang="en-US" sz="1400">
                <a:solidFill>
                  <a:schemeClr val="bg1">
                    <a:lumMod val="85000"/>
                  </a:schemeClr>
                </a:solidFill>
                <a:latin typeface="Cambria" panose="02040503050406030204" pitchFamily="18" charset="0"/>
                <a:ea typeface="Cambria" panose="02040503050406030204" pitchFamily="18" charset="0"/>
              </a:rPr>
              <a:t>2. </a:t>
            </a:r>
            <a:r>
              <a:rPr lang="en-US" sz="1400" b="0" i="0" u="none" strike="noStrike">
                <a:solidFill>
                  <a:schemeClr val="bg1">
                    <a:lumMod val="85000"/>
                  </a:schemeClr>
                </a:solidFill>
                <a:latin typeface="Cambria" panose="02040503050406030204" pitchFamily="18" charset="0"/>
                <a:ea typeface="Cambria" panose="02040503050406030204" pitchFamily="18" charset="0"/>
                <a:cs typeface="Arial" panose="020B0604020202020204" pitchFamily="34" charset="0"/>
              </a:rPr>
              <a:t>Retail, Consumer, Food, Transportation, and Hardware dominate total layoffs</a:t>
            </a:r>
          </a:p>
          <a:p>
            <a:endParaRPr lang="en-US" sz="1400">
              <a:solidFill>
                <a:schemeClr val="bg1">
                  <a:lumMod val="85000"/>
                </a:schemeClr>
              </a:solidFill>
              <a:latin typeface="Cambria" panose="02040503050406030204" pitchFamily="18" charset="0"/>
              <a:ea typeface="Cambria" panose="02040503050406030204" pitchFamily="18" charset="0"/>
            </a:endParaRPr>
          </a:p>
          <a:p>
            <a:r>
              <a:rPr lang="en-US" sz="1400">
                <a:solidFill>
                  <a:schemeClr val="bg1">
                    <a:lumMod val="85000"/>
                  </a:schemeClr>
                </a:solidFill>
                <a:latin typeface="Cambria" panose="02040503050406030204" pitchFamily="18" charset="0"/>
                <a:ea typeface="Cambria" panose="02040503050406030204" pitchFamily="18" charset="0"/>
              </a:rPr>
              <a:t>3. The United States leads significantly in total layoffs.</a:t>
            </a:r>
          </a:p>
          <a:p>
            <a:endParaRPr lang="en-US" sz="1400">
              <a:solidFill>
                <a:schemeClr val="bg1">
                  <a:lumMod val="85000"/>
                </a:schemeClr>
              </a:solidFill>
              <a:latin typeface="Cambria" panose="02040503050406030204" pitchFamily="18" charset="0"/>
              <a:ea typeface="Cambria" panose="02040503050406030204" pitchFamily="18" charset="0"/>
            </a:endParaRPr>
          </a:p>
          <a:p>
            <a:r>
              <a:rPr lang="en-US" sz="1400">
                <a:solidFill>
                  <a:schemeClr val="bg1">
                    <a:lumMod val="85000"/>
                  </a:schemeClr>
                </a:solidFill>
                <a:latin typeface="Cambria" panose="02040503050406030204" pitchFamily="18" charset="0"/>
                <a:ea typeface="Cambria" panose="02040503050406030204" pitchFamily="18" charset="0"/>
              </a:rPr>
              <a:t>4. Developed key metrics and KPIs for workforce and layoff analysis.</a:t>
            </a:r>
          </a:p>
          <a:p>
            <a:endParaRPr lang="en-US" sz="1400">
              <a:solidFill>
                <a:schemeClr val="bg1">
                  <a:lumMod val="85000"/>
                </a:schemeClr>
              </a:solidFill>
              <a:latin typeface="Cambria" panose="02040503050406030204" pitchFamily="18" charset="0"/>
              <a:ea typeface="Cambria" panose="02040503050406030204" pitchFamily="18" charset="0"/>
            </a:endParaRPr>
          </a:p>
          <a:p>
            <a:endParaRPr lang="en-US" sz="1400">
              <a:solidFill>
                <a:schemeClr val="bg1">
                  <a:lumMod val="85000"/>
                </a:schemeClr>
              </a:solidFill>
              <a:latin typeface="Cambria" panose="02040503050406030204" pitchFamily="18" charset="0"/>
              <a:ea typeface="Cambria" panose="02040503050406030204" pitchFamily="18" charset="0"/>
            </a:endParaRPr>
          </a:p>
        </xdr:txBody>
      </xdr:sp>
    </xdr:grpSp>
    <xdr:clientData/>
  </xdr:twoCellAnchor>
  <xdr:twoCellAnchor>
    <xdr:from>
      <xdr:col>16</xdr:col>
      <xdr:colOff>414338</xdr:colOff>
      <xdr:row>7</xdr:row>
      <xdr:rowOff>57150</xdr:rowOff>
    </xdr:from>
    <xdr:to>
      <xdr:col>24</xdr:col>
      <xdr:colOff>557212</xdr:colOff>
      <xdr:row>30</xdr:row>
      <xdr:rowOff>85725</xdr:rowOff>
    </xdr:to>
    <xdr:grpSp>
      <xdr:nvGrpSpPr>
        <xdr:cNvPr id="13" name="Group 12">
          <a:extLst>
            <a:ext uri="{FF2B5EF4-FFF2-40B4-BE49-F238E27FC236}">
              <a16:creationId xmlns:a16="http://schemas.microsoft.com/office/drawing/2014/main" id="{12D20D98-AA94-4A6F-2898-814F15AAFC0D}"/>
            </a:ext>
          </a:extLst>
        </xdr:cNvPr>
        <xdr:cNvGrpSpPr/>
      </xdr:nvGrpSpPr>
      <xdr:grpSpPr>
        <a:xfrm>
          <a:off x="10167938" y="1390650"/>
          <a:ext cx="5019674" cy="4410075"/>
          <a:chOff x="10329863" y="1390650"/>
          <a:chExt cx="5019674" cy="4410075"/>
        </a:xfrm>
      </xdr:grpSpPr>
      <xdr:sp macro="" textlink="">
        <xdr:nvSpPr>
          <xdr:cNvPr id="6" name="TextBox 5">
            <a:extLst>
              <a:ext uri="{FF2B5EF4-FFF2-40B4-BE49-F238E27FC236}">
                <a16:creationId xmlns:a16="http://schemas.microsoft.com/office/drawing/2014/main" id="{BC5AEF57-6F36-428A-9199-3531263FFF3F}"/>
              </a:ext>
            </a:extLst>
          </xdr:cNvPr>
          <xdr:cNvSpPr txBox="1"/>
        </xdr:nvSpPr>
        <xdr:spPr>
          <a:xfrm>
            <a:off x="10329863" y="2114550"/>
            <a:ext cx="5019674" cy="3686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500">
                <a:solidFill>
                  <a:schemeClr val="bg1">
                    <a:lumMod val="85000"/>
                  </a:schemeClr>
                </a:solidFill>
              </a:rPr>
              <a:t>1.</a:t>
            </a:r>
            <a:r>
              <a:rPr lang="en-US" sz="1500" baseline="0">
                <a:solidFill>
                  <a:schemeClr val="bg1">
                    <a:lumMod val="85000"/>
                  </a:schemeClr>
                </a:solidFill>
              </a:rPr>
              <a:t> </a:t>
            </a:r>
            <a:r>
              <a:rPr lang="en-US" sz="1500">
                <a:solidFill>
                  <a:schemeClr val="bg1">
                    <a:lumMod val="85000"/>
                  </a:schemeClr>
                </a:solidFill>
              </a:rPr>
              <a:t>Implement early-warning risk indicators to detect layoff threats early using hiring, revenue, burn rate, and cost trends.</a:t>
            </a:r>
          </a:p>
          <a:p>
            <a:endParaRPr lang="en-US" sz="1500">
              <a:solidFill>
                <a:schemeClr val="bg1">
                  <a:lumMod val="85000"/>
                </a:schemeClr>
              </a:solidFill>
            </a:endParaRPr>
          </a:p>
          <a:p>
            <a:r>
              <a:rPr lang="en-US" sz="1500">
                <a:solidFill>
                  <a:schemeClr val="bg1">
                    <a:lumMod val="85000"/>
                  </a:schemeClr>
                </a:solidFill>
              </a:rPr>
              <a:t>2. Align hiring strictly with proven revenue growth to eliminate speculative scaling and reduce financial exposure.</a:t>
            </a:r>
          </a:p>
          <a:p>
            <a:endParaRPr lang="en-US" sz="1500">
              <a:solidFill>
                <a:schemeClr val="bg1">
                  <a:lumMod val="85000"/>
                </a:schemeClr>
              </a:solidFill>
            </a:endParaRPr>
          </a:p>
          <a:p>
            <a:r>
              <a:rPr lang="en-US" sz="1500">
                <a:solidFill>
                  <a:schemeClr val="bg1">
                    <a:lumMod val="85000"/>
                  </a:schemeClr>
                </a:solidFill>
              </a:rPr>
              <a:t>3. Adopt flexible workforce models that allow rapid adjustment during market shifts without large-scale job cuts.</a:t>
            </a:r>
          </a:p>
          <a:p>
            <a:endParaRPr lang="en-US" sz="1500">
              <a:solidFill>
                <a:schemeClr val="bg1">
                  <a:lumMod val="85000"/>
                </a:schemeClr>
              </a:solidFill>
            </a:endParaRPr>
          </a:p>
          <a:p>
            <a:r>
              <a:rPr lang="en-US" sz="1500">
                <a:solidFill>
                  <a:schemeClr val="bg1">
                    <a:lumMod val="85000"/>
                  </a:schemeClr>
                </a:solidFill>
              </a:rPr>
              <a:t>4. Develop industry-specific workforce planning models to proactively manage sector-related volatility and demand fluctuations.</a:t>
            </a:r>
          </a:p>
          <a:p>
            <a:endParaRPr lang="en-US" sz="1500">
              <a:solidFill>
                <a:schemeClr val="bg1">
                  <a:lumMod val="85000"/>
                </a:schemeClr>
              </a:solidFill>
            </a:endParaRPr>
          </a:p>
          <a:p>
            <a:endParaRPr lang="en-US" sz="1500">
              <a:solidFill>
                <a:schemeClr val="bg1">
                  <a:lumMod val="85000"/>
                </a:schemeClr>
              </a:solidFill>
            </a:endParaRPr>
          </a:p>
        </xdr:txBody>
      </xdr:sp>
      <xdr:sp macro="" textlink="Analysis!M34">
        <xdr:nvSpPr>
          <xdr:cNvPr id="11" name="TextBox 10">
            <a:extLst>
              <a:ext uri="{FF2B5EF4-FFF2-40B4-BE49-F238E27FC236}">
                <a16:creationId xmlns:a16="http://schemas.microsoft.com/office/drawing/2014/main" id="{0B77F310-0957-40FD-BD0A-57ACF2A6D668}"/>
              </a:ext>
            </a:extLst>
          </xdr:cNvPr>
          <xdr:cNvSpPr txBox="1"/>
        </xdr:nvSpPr>
        <xdr:spPr>
          <a:xfrm>
            <a:off x="10429875" y="1390650"/>
            <a:ext cx="481965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800" b="1">
                <a:solidFill>
                  <a:srgbClr val="F85252"/>
                </a:solidFill>
                <a:latin typeface="Cambria" panose="02040503050406030204" pitchFamily="18" charset="0"/>
                <a:ea typeface="Cambria" panose="02040503050406030204" pitchFamily="18" charset="0"/>
              </a:rPr>
              <a:t>RECOMMENDATION </a:t>
            </a:r>
            <a:endParaRPr lang="en-US" sz="2800" b="1" i="0" u="none" strike="noStrike">
              <a:solidFill>
                <a:srgbClr val="F85252"/>
              </a:solidFill>
              <a:latin typeface="Cambria" panose="02040503050406030204" pitchFamily="18" charset="0"/>
              <a:ea typeface="Cambria" panose="02040503050406030204" pitchFamily="18" charset="0"/>
              <a:cs typeface="Arial" panose="020B0604020202020204" pitchFamily="34" charset="0"/>
            </a:endParaRPr>
          </a:p>
        </xdr:txBody>
      </xdr:sp>
    </xdr:grpSp>
    <xdr:clientData/>
  </xdr:twoCellAnchor>
  <xdr:twoCellAnchor>
    <xdr:from>
      <xdr:col>2</xdr:col>
      <xdr:colOff>104775</xdr:colOff>
      <xdr:row>9</xdr:row>
      <xdr:rowOff>66675</xdr:rowOff>
    </xdr:from>
    <xdr:to>
      <xdr:col>3</xdr:col>
      <xdr:colOff>342899</xdr:colOff>
      <xdr:row>31</xdr:row>
      <xdr:rowOff>76200</xdr:rowOff>
    </xdr:to>
    <xdr:sp macro="" textlink="">
      <xdr:nvSpPr>
        <xdr:cNvPr id="15" name="Rectangle: Rounded Corners 14">
          <a:extLst>
            <a:ext uri="{FF2B5EF4-FFF2-40B4-BE49-F238E27FC236}">
              <a16:creationId xmlns:a16="http://schemas.microsoft.com/office/drawing/2014/main" id="{7E6C10CC-8AB1-CC7E-ED91-C98C4624B5A0}"/>
            </a:ext>
          </a:extLst>
        </xdr:cNvPr>
        <xdr:cNvSpPr/>
      </xdr:nvSpPr>
      <xdr:spPr>
        <a:xfrm>
          <a:off x="1323975" y="1781175"/>
          <a:ext cx="847724" cy="4200525"/>
        </a:xfrm>
        <a:prstGeom prst="roundRect">
          <a:avLst>
            <a:gd name="adj" fmla="val 28805"/>
          </a:avLst>
        </a:prstGeom>
        <a:solidFill>
          <a:schemeClr val="tx1"/>
        </a:solidFill>
        <a:ln>
          <a:noFill/>
        </a:ln>
        <a:effectLst>
          <a:outerShdw blurRad="63500" dist="12700" dir="5400000" sx="101000" sy="101000" algn="ctr" rotWithShape="0">
            <a:schemeClr val="bg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209209</xdr:colOff>
      <xdr:row>9</xdr:row>
      <xdr:rowOff>171450</xdr:rowOff>
    </xdr:from>
    <xdr:to>
      <xdr:col>3</xdr:col>
      <xdr:colOff>238465</xdr:colOff>
      <xdr:row>13</xdr:row>
      <xdr:rowOff>48306</xdr:rowOff>
    </xdr:to>
    <xdr:pic>
      <xdr:nvPicPr>
        <xdr:cNvPr id="16" name="Picture 15">
          <a:hlinkClick xmlns:r="http://schemas.openxmlformats.org/officeDocument/2006/relationships" r:id="rId1"/>
          <a:extLst>
            <a:ext uri="{FF2B5EF4-FFF2-40B4-BE49-F238E27FC236}">
              <a16:creationId xmlns:a16="http://schemas.microsoft.com/office/drawing/2014/main" id="{9C4500E3-3393-C129-3B7E-B46C5845091B}"/>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a:off x="1428409" y="1885950"/>
          <a:ext cx="638856" cy="638856"/>
        </a:xfrm>
        <a:prstGeom prst="rect">
          <a:avLst/>
        </a:prstGeom>
      </xdr:spPr>
    </xdr:pic>
    <xdr:clientData fLocksWithSheet="0"/>
  </xdr:twoCellAnchor>
  <xdr:twoCellAnchor>
    <xdr:from>
      <xdr:col>2</xdr:col>
      <xdr:colOff>199732</xdr:colOff>
      <xdr:row>18</xdr:row>
      <xdr:rowOff>83926</xdr:rowOff>
    </xdr:from>
    <xdr:to>
      <xdr:col>3</xdr:col>
      <xdr:colOff>285748</xdr:colOff>
      <xdr:row>22</xdr:row>
      <xdr:rowOff>17542</xdr:rowOff>
    </xdr:to>
    <xdr:pic>
      <xdr:nvPicPr>
        <xdr:cNvPr id="17" name="Picture 16">
          <a:extLst>
            <a:ext uri="{FF2B5EF4-FFF2-40B4-BE49-F238E27FC236}">
              <a16:creationId xmlns:a16="http://schemas.microsoft.com/office/drawing/2014/main" id="{29CA17F3-A6BF-FAB5-82DB-AB0E77E75AF5}"/>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rightnessContrast bright="100000" contrast="-70000"/>
                  </a14:imgEffect>
                </a14:imgLayer>
              </a14:imgProps>
            </a:ext>
            <a:ext uri="{28A0092B-C50C-407E-A947-70E740481C1C}">
              <a14:useLocalDpi xmlns:a14="http://schemas.microsoft.com/office/drawing/2010/main" val="0"/>
            </a:ext>
          </a:extLst>
        </a:blip>
        <a:stretch>
          <a:fillRect/>
        </a:stretch>
      </xdr:blipFill>
      <xdr:spPr>
        <a:xfrm flipH="1">
          <a:off x="1418932" y="3512926"/>
          <a:ext cx="695616" cy="695616"/>
        </a:xfrm>
        <a:prstGeom prst="rect">
          <a:avLst/>
        </a:prstGeom>
      </xdr:spPr>
    </xdr:pic>
    <xdr:clientData/>
  </xdr:twoCellAnchor>
  <xdr:twoCellAnchor>
    <xdr:from>
      <xdr:col>2</xdr:col>
      <xdr:colOff>171448</xdr:colOff>
      <xdr:row>22</xdr:row>
      <xdr:rowOff>180221</xdr:rowOff>
    </xdr:from>
    <xdr:to>
      <xdr:col>3</xdr:col>
      <xdr:colOff>304187</xdr:colOff>
      <xdr:row>26</xdr:row>
      <xdr:rowOff>160560</xdr:rowOff>
    </xdr:to>
    <xdr:pic>
      <xdr:nvPicPr>
        <xdr:cNvPr id="18" name="Picture 17">
          <a:hlinkClick xmlns:r="http://schemas.openxmlformats.org/officeDocument/2006/relationships" r:id="rId6"/>
          <a:extLst>
            <a:ext uri="{FF2B5EF4-FFF2-40B4-BE49-F238E27FC236}">
              <a16:creationId xmlns:a16="http://schemas.microsoft.com/office/drawing/2014/main" id="{C5CC16F1-43AC-C0C5-A78C-53BC2B821B22}"/>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a:off x="1390648" y="4371221"/>
          <a:ext cx="742339" cy="742339"/>
        </a:xfrm>
        <a:prstGeom prst="rect">
          <a:avLst/>
        </a:prstGeom>
      </xdr:spPr>
    </xdr:pic>
    <xdr:clientData fLocksWithSheet="0"/>
  </xdr:twoCellAnchor>
  <xdr:twoCellAnchor>
    <xdr:from>
      <xdr:col>2</xdr:col>
      <xdr:colOff>209547</xdr:colOff>
      <xdr:row>27</xdr:row>
      <xdr:rowOff>132739</xdr:rowOff>
    </xdr:from>
    <xdr:to>
      <xdr:col>3</xdr:col>
      <xdr:colOff>228598</xdr:colOff>
      <xdr:row>30</xdr:row>
      <xdr:rowOff>189890</xdr:rowOff>
    </xdr:to>
    <xdr:pic>
      <xdr:nvPicPr>
        <xdr:cNvPr id="19" name="Picture 18">
          <a:extLst>
            <a:ext uri="{FF2B5EF4-FFF2-40B4-BE49-F238E27FC236}">
              <a16:creationId xmlns:a16="http://schemas.microsoft.com/office/drawing/2014/main" id="{5358F599-286A-8374-CC65-246395957119}"/>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bright="30000" contrast="-70000"/>
                  </a14:imgEffect>
                </a14:imgLayer>
              </a14:imgProps>
            </a:ext>
            <a:ext uri="{28A0092B-C50C-407E-A947-70E740481C1C}">
              <a14:useLocalDpi xmlns:a14="http://schemas.microsoft.com/office/drawing/2010/main" val="0"/>
            </a:ext>
          </a:extLst>
        </a:blip>
        <a:stretch>
          <a:fillRect/>
        </a:stretch>
      </xdr:blipFill>
      <xdr:spPr>
        <a:xfrm>
          <a:off x="1428747" y="5276239"/>
          <a:ext cx="628651" cy="628651"/>
        </a:xfrm>
        <a:prstGeom prst="rect">
          <a:avLst/>
        </a:prstGeom>
      </xdr:spPr>
    </xdr:pic>
    <xdr:clientData fLocksWithSheet="0"/>
  </xdr:twoCellAnchor>
  <xdr:twoCellAnchor>
    <xdr:from>
      <xdr:col>2</xdr:col>
      <xdr:colOff>197256</xdr:colOff>
      <xdr:row>14</xdr:row>
      <xdr:rowOff>20485</xdr:rowOff>
    </xdr:from>
    <xdr:to>
      <xdr:col>3</xdr:col>
      <xdr:colOff>250418</xdr:colOff>
      <xdr:row>17</xdr:row>
      <xdr:rowOff>111747</xdr:rowOff>
    </xdr:to>
    <xdr:pic>
      <xdr:nvPicPr>
        <xdr:cNvPr id="20" name="Picture 19">
          <a:hlinkClick xmlns:r="http://schemas.openxmlformats.org/officeDocument/2006/relationships" r:id="rId11"/>
          <a:extLst>
            <a:ext uri="{FF2B5EF4-FFF2-40B4-BE49-F238E27FC236}">
              <a16:creationId xmlns:a16="http://schemas.microsoft.com/office/drawing/2014/main" id="{72E9D19F-18D0-255A-3D88-902789BBFC57}"/>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rightnessContrast bright="70000" contrast="-70000"/>
                  </a14:imgEffect>
                </a14:imgLayer>
              </a14:imgProps>
            </a:ext>
            <a:ext uri="{28A0092B-C50C-407E-A947-70E740481C1C}">
              <a14:useLocalDpi xmlns:a14="http://schemas.microsoft.com/office/drawing/2010/main" val="0"/>
            </a:ext>
          </a:extLst>
        </a:blip>
        <a:stretch>
          <a:fillRect/>
        </a:stretch>
      </xdr:blipFill>
      <xdr:spPr>
        <a:xfrm>
          <a:off x="1416456" y="2687485"/>
          <a:ext cx="662762" cy="662762"/>
        </a:xfrm>
        <a:prstGeom prst="rect">
          <a:avLst/>
        </a:prstGeom>
      </xdr:spPr>
    </xdr:pic>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2</xdr:col>
      <xdr:colOff>57151</xdr:colOff>
      <xdr:row>25</xdr:row>
      <xdr:rowOff>29257</xdr:rowOff>
    </xdr:from>
    <xdr:to>
      <xdr:col>3</xdr:col>
      <xdr:colOff>561975</xdr:colOff>
      <xdr:row>32</xdr:row>
      <xdr:rowOff>95931</xdr:rowOff>
    </xdr:to>
    <xdr:pic>
      <xdr:nvPicPr>
        <xdr:cNvPr id="6" name="Picture 5">
          <a:hlinkClick xmlns:r="http://schemas.openxmlformats.org/officeDocument/2006/relationships" r:id="rId1"/>
          <a:extLst>
            <a:ext uri="{FF2B5EF4-FFF2-40B4-BE49-F238E27FC236}">
              <a16:creationId xmlns:a16="http://schemas.microsoft.com/office/drawing/2014/main" id="{CF728621-E3D0-C45E-94E3-EA2F8AFA9F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6351" y="4744132"/>
          <a:ext cx="1400174" cy="14001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7.522788425929" backgroundQuery="1" createdVersion="8" refreshedVersion="8" minRefreshableVersion="3" recordCount="0" supportSubquery="1" supportAdvancedDrill="1" xr:uid="{700D862B-BFD1-4DD0-937D-B788EB1E5D49}">
  <cacheSource type="external" connectionId="3"/>
  <cacheFields count="3">
    <cacheField name="[Laid off employees].[Year].[Year]" caption="Year" numFmtId="0" hierarchy="9" level="1">
      <sharedItems containsSemiMixedTypes="0" containsString="0" containsNumber="1" containsInteger="1" minValue="2020" maxValue="2023" count="4">
        <n v="2020"/>
        <n v="2021"/>
        <n v="2022"/>
        <n v="2023"/>
      </sharedItems>
      <extLst>
        <ext xmlns:x15="http://schemas.microsoft.com/office/spreadsheetml/2010/11/main" uri="{4F2E5C28-24EA-4eb8-9CBF-B6C8F9C3D259}">
          <x15:cachedUniqueNames>
            <x15:cachedUniqueName index="0" name="[Laid off employees].[Year].&amp;[2020]"/>
            <x15:cachedUniqueName index="1" name="[Laid off employees].[Year].&amp;[2021]"/>
            <x15:cachedUniqueName index="2" name="[Laid off employees].[Year].&amp;[2022]"/>
            <x15:cachedUniqueName index="3" name="[Laid off employees].[Year].&amp;[2023]"/>
          </x15:cachedUniqueNames>
        </ext>
      </extLst>
    </cacheField>
    <cacheField name="[Measures].[Total Laid Off]" caption="Total Laid Off" numFmtId="0" hierarchy="15" level="32767"/>
    <cacheField name="[Measures].[Sum of funds_raised_millions]" caption="Sum of funds_raised_millions" numFmtId="0" hierarchy="29" level="32767"/>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0" memberValueDatatype="130" unbalanced="0"/>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0"/>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oneField="1">
      <fieldsUsage count="1">
        <fieldUsage x="1"/>
      </fieldsUsage>
    </cacheHierarchy>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oneField="1" hidden="1">
      <fieldsUsage count="1">
        <fieldUsage x="2"/>
      </fieldsUsage>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19560187" backgroundQuery="1" createdVersion="8" refreshedVersion="8" minRefreshableVersion="3" recordCount="0" supportSubquery="1" supportAdvancedDrill="1" xr:uid="{A85D9DE7-4E1B-4C2F-B846-67FE972AE525}">
  <cacheSource type="external" connectionId="3"/>
  <cacheFields count="6">
    <cacheField name="[Measures].[Total Laid Off]" caption="Total Laid Off" numFmtId="0" hierarchy="15" level="32767"/>
    <cacheField name="[Measures].[Total Funds]" caption="Total Funds" numFmtId="0" hierarchy="16" level="32767"/>
    <cacheField name="[Measures].[Total Company]" caption="Total Company" numFmtId="0" hierarchy="17" level="32767"/>
    <cacheField name="[Measures].[Total Industry]" caption="Total Industry" numFmtId="0" hierarchy="18" level="32767"/>
    <cacheField name="[Measures].[#Transaction]" caption="#Transaction" numFmtId="0" hierarchy="19"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2"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cacheHierarchy uniqueName="[Laid off employees].[location]" caption="location" attribute="1" defaultMemberUniqueName="[Laid off employees].[location].[All]" allUniqueName="[Laid off employees].[location].[All]" dimensionUniqueName="[Laid off employees]" displayFolder="" count="2" memberValueDatatype="130" unbalanced="0"/>
    <cacheHierarchy uniqueName="[Laid off employees].[industry]" caption="industry" attribute="1" defaultMemberUniqueName="[Laid off employees].[industry].[All]" allUniqueName="[Laid off employees].[industry].[All]" dimensionUniqueName="[Laid off employees]" displayFolder="" count="2"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2" memberValueDatatype="20" unbalanced="0"/>
    <cacheHierarchy uniqueName="[Laid off employees].[date]" caption="date" attribute="1" time="1" defaultMemberUniqueName="[Laid off employees].[date].[All]" allUniqueName="[Laid off employees].[date].[All]" dimensionUniqueName="[Laid off employees]" displayFolder="" count="2" memberValueDatatype="7" unbalanced="0"/>
    <cacheHierarchy uniqueName="[Laid off employees].[stage]" caption="stage" attribute="1" defaultMemberUniqueName="[Laid off employees].[stage].[All]" allUniqueName="[Laid off employees].[stage].[All]" dimensionUniqueName="[Laid off employees]" displayFolder="" count="2" memberValueDatatype="130" unbalanced="0"/>
    <cacheHierarchy uniqueName="[Laid off employees].[country]" caption="country" attribute="1" defaultMemberUniqueName="[Laid off employees].[country].[All]" allUniqueName="[Laid off employees].[country].[All]" dimensionUniqueName="[Laid off employees]" displayFolder="" count="2"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2"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5"/>
      </fieldsUsage>
    </cacheHierarchy>
    <cacheHierarchy uniqueName="[Laid off employees].[Month]" caption="Month" attribute="1" defaultMemberUniqueName="[Laid off employees].[Month].[All]" allUniqueName="[Laid off employees].[Month].[All]" dimensionUniqueName="[Laid off employees]" displayFolder="" count="2" memberValueDatatype="20" unbalanced="0"/>
    <cacheHierarchy uniqueName="[Laid off employees].[Month Name]" caption="Month Name" attribute="1" defaultMemberUniqueName="[Laid off employees].[Month Name].[All]" allUniqueName="[Laid off employees].[Month Name].[All]" dimensionUniqueName="[Laid off employees]" displayFolder="" count="2"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2"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2"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2" memberValueDatatype="20" unbalanced="0"/>
    <cacheHierarchy uniqueName="[Measures].[Total Laid Off]" caption="Total Laid Off" measure="1" displayFolder="" measureGroup="A" count="0" oneField="1">
      <fieldsUsage count="1">
        <fieldUsage x="0"/>
      </fieldsUsage>
    </cacheHierarchy>
    <cacheHierarchy uniqueName="[Measures].[Total Funds]" caption="Total Funds" measure="1" displayFolder="" measureGroup="A" count="0" oneField="1">
      <fieldsUsage count="1">
        <fieldUsage x="1"/>
      </fieldsUsage>
    </cacheHierarchy>
    <cacheHierarchy uniqueName="[Measures].[Total Company]" caption="Total Company" measure="1" displayFolder="" measureGroup="A" count="0" oneField="1">
      <fieldsUsage count="1">
        <fieldUsage x="2"/>
      </fieldsUsage>
    </cacheHierarchy>
    <cacheHierarchy uniqueName="[Measures].[Total Industry]" caption="Total Industry" measure="1" displayFolder="" measureGroup="A" count="0" oneField="1">
      <fieldsUsage count="1">
        <fieldUsage x="3"/>
      </fieldsUsage>
    </cacheHierarchy>
    <cacheHierarchy uniqueName="[Measures].[#Transaction]" caption="#Transaction" measure="1" displayFolder="" measureGroup="A" count="0" oneField="1">
      <fieldsUsage count="1">
        <fieldUsage x="4"/>
      </fieldsUsage>
    </cacheHierarchy>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0717595" backgroundQuery="1" createdVersion="8" refreshedVersion="8" minRefreshableVersion="3" recordCount="0" supportSubquery="1" supportAdvancedDrill="1" xr:uid="{696EDC24-1D55-4B2F-9AA8-009761D5CA13}">
  <cacheSource type="external" connectionId="3"/>
  <cacheFields count="3">
    <cacheField name="[Laid off employees].[company].[company]" caption="company" numFmtId="0" hierarchy="1" level="1">
      <sharedItems count="10">
        <s v="Amazon"/>
        <s v="Better.com"/>
        <s v="Booking.com"/>
        <s v="Byju's"/>
        <s v="Carvana"/>
        <s v="Cisco"/>
        <s v="Dell"/>
        <s v="Ericsson"/>
        <s v="Google"/>
        <s v="IBM"/>
      </sharedItems>
    </cacheField>
    <cacheField name="[Measures].[Total Laid Off]" caption="Total Laid Off" numFmtId="0" hierarchy="15"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0"/>
      </fieldsUsage>
    </cacheHierarchy>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2"/>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oneField="1">
      <fieldsUsage count="1">
        <fieldUsage x="1"/>
      </fieldsUsage>
    </cacheHierarchy>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1759258" backgroundQuery="1" createdVersion="8" refreshedVersion="8" minRefreshableVersion="3" recordCount="0" supportSubquery="1" supportAdvancedDrill="1" xr:uid="{69DF921B-3B39-4171-8690-8F1F03240F53}">
  <cacheSource type="external" connectionId="3"/>
  <cacheFields count="4">
    <cacheField name="[Measures].[Total Laid Off]" caption="Total Laid Off" numFmtId="0" hierarchy="15" level="32767"/>
    <cacheField name="[Laid off employees].[company].[company]" caption="company" numFmtId="0" hierarchy="1" level="1">
      <sharedItems count="10">
        <s v="Amazon"/>
        <s v="Better.com"/>
        <s v="Booking.com"/>
        <s v="Byju's"/>
        <s v="Carvana"/>
        <s v="Cisco"/>
        <s v="Dell"/>
        <s v="Ericsson"/>
        <s v="Google"/>
        <s v="IBM"/>
      </sharedItems>
    </cacheField>
    <cacheField name="[Laid off employees].[industry].[industry]" caption="industry" numFmtId="0" hierarchy="3" level="1">
      <sharedItems count="10">
        <s v="Consumer"/>
        <s v="Crypto"/>
        <s v="Finance"/>
        <s v="Food"/>
        <s v="Hardware"/>
        <s v="Healthcare"/>
        <s v="Other"/>
        <s v="Retail"/>
        <s v="Transportation"/>
        <s v="Travel"/>
      </sharedItems>
    </cacheField>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1"/>
      </fieldsUsage>
    </cacheHierarchy>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2" memberValueDatatype="130" unbalanced="0">
      <fieldsUsage count="2">
        <fieldUsage x="-1"/>
        <fieldUsage x="2"/>
      </fieldsUsage>
    </cacheHierarchy>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3"/>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oneField="1">
      <fieldsUsage count="1">
        <fieldUsage x="0"/>
      </fieldsUsage>
    </cacheHierarchy>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2569443" backgroundQuery="1" createdVersion="8" refreshedVersion="8" minRefreshableVersion="3" recordCount="0" supportSubquery="1" supportAdvancedDrill="1" xr:uid="{29D6E2BD-61D8-4E2A-B61F-F5EBA76424B4}">
  <cacheSource type="external" connectionId="3"/>
  <cacheFields count="5">
    <cacheField name="[Measures].[Total Laid Off]" caption="Total Laid Off" numFmtId="0" hierarchy="15" level="32767"/>
    <cacheField name="[Laid off employees].[company].[company]" caption="company" numFmtId="0" hierarchy="1" level="1">
      <sharedItems count="10">
        <s v="Amazon"/>
        <s v="Better.com"/>
        <s v="Booking.com"/>
        <s v="Byju's"/>
        <s v="Carvana"/>
        <s v="Cisco"/>
        <s v="Dell"/>
        <s v="Ericsson"/>
        <s v="Google"/>
        <s v="IBM"/>
      </sharedItems>
    </cacheField>
    <cacheField name="[Laid off employees].[industry].[industry]" caption="industry" numFmtId="0" hierarchy="3" level="1">
      <sharedItems count="10">
        <s v="Consumer"/>
        <s v="Crypto"/>
        <s v="Finance"/>
        <s v="Food"/>
        <s v="Hardware"/>
        <s v="Healthcare"/>
        <s v="Other"/>
        <s v="Retail"/>
        <s v="Transportation"/>
        <s v="Travel"/>
      </sharedItems>
    </cacheField>
    <cacheField name="[Laid off employees].[location].[location]" caption="location" numFmtId="0" hierarchy="2" level="1">
      <sharedItems count="10">
        <s v="Amsterdam"/>
        <s v="Austin"/>
        <s v="Bengaluru"/>
        <s v="Chicago"/>
        <s v="New York City"/>
        <s v="Phoenix"/>
        <s v="Seattle"/>
        <s v="SF Bay Area"/>
        <s v="Singapore"/>
        <s v="Stockholm"/>
      </sharedItems>
    </cacheField>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1"/>
      </fieldsUsage>
    </cacheHierarchy>
    <cacheHierarchy uniqueName="[Laid off employees].[location]" caption="location" attribute="1" defaultMemberUniqueName="[Laid off employees].[location].[All]" allUniqueName="[Laid off employees].[location].[All]" dimensionUniqueName="[Laid off employees]" displayFolder="" count="2" memberValueDatatype="130" unbalanced="0">
      <fieldsUsage count="2">
        <fieldUsage x="-1"/>
        <fieldUsage x="3"/>
      </fieldsUsage>
    </cacheHierarchy>
    <cacheHierarchy uniqueName="[Laid off employees].[industry]" caption="industry" attribute="1" defaultMemberUniqueName="[Laid off employees].[industry].[All]" allUniqueName="[Laid off employees].[industry].[All]" dimensionUniqueName="[Laid off employees]" displayFolder="" count="2" memberValueDatatype="130" unbalanced="0">
      <fieldsUsage count="2">
        <fieldUsage x="-1"/>
        <fieldUsage x="2"/>
      </fieldsUsage>
    </cacheHierarchy>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4"/>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oneField="1">
      <fieldsUsage count="1">
        <fieldUsage x="0"/>
      </fieldsUsage>
    </cacheHierarchy>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3379628" backgroundQuery="1" createdVersion="8" refreshedVersion="8" minRefreshableVersion="3" recordCount="0" supportSubquery="1" supportAdvancedDrill="1" xr:uid="{F309DC18-5856-43BB-B749-063456DA7DF6}">
  <cacheSource type="external" connectionId="3"/>
  <cacheFields count="6">
    <cacheField name="[Measures].[Total Laid Off]" caption="Total Laid Off" numFmtId="0" hierarchy="15" level="32767"/>
    <cacheField name="[Laid off employees].[company].[company]" caption="company" numFmtId="0" hierarchy="1" level="1">
      <sharedItems count="10">
        <s v="Amazon"/>
        <s v="Better.com"/>
        <s v="Booking.com"/>
        <s v="Byju's"/>
        <s v="Carvana"/>
        <s v="Cisco"/>
        <s v="Dell"/>
        <s v="Ericsson"/>
        <s v="Google"/>
        <s v="IBM"/>
      </sharedItems>
    </cacheField>
    <cacheField name="[Laid off employees].[industry].[industry]" caption="industry" numFmtId="0" hierarchy="3" level="1">
      <sharedItems count="10">
        <s v="Consumer"/>
        <s v="Crypto"/>
        <s v="Finance"/>
        <s v="Food"/>
        <s v="Hardware"/>
        <s v="Healthcare"/>
        <s v="Other"/>
        <s v="Retail"/>
        <s v="Transportation"/>
        <s v="Travel"/>
      </sharedItems>
    </cacheField>
    <cacheField name="[Laid off employees].[location].[location]" caption="location" numFmtId="0" hierarchy="2" level="1">
      <sharedItems count="10">
        <s v="Amsterdam"/>
        <s v="Austin"/>
        <s v="Bengaluru"/>
        <s v="Chicago"/>
        <s v="New York City"/>
        <s v="Phoenix"/>
        <s v="Seattle"/>
        <s v="SF Bay Area"/>
        <s v="Singapore"/>
        <s v="Stockholm"/>
      </sharedItems>
    </cacheField>
    <cacheField name="[Laid off employees].[country].[country]" caption="country" numFmtId="0" hierarchy="7" level="1">
      <sharedItems count="10">
        <s v="Brazil"/>
        <s v="Canada"/>
        <s v="China"/>
        <s v="Germany"/>
        <s v="India"/>
        <s v="Netherlands"/>
        <s v="Singapore"/>
        <s v="Sweden"/>
        <s v="United Kingdom"/>
        <s v="United States"/>
      </sharedItems>
    </cacheField>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1"/>
      </fieldsUsage>
    </cacheHierarchy>
    <cacheHierarchy uniqueName="[Laid off employees].[location]" caption="location" attribute="1" defaultMemberUniqueName="[Laid off employees].[location].[All]" allUniqueName="[Laid off employees].[location].[All]" dimensionUniqueName="[Laid off employees]" displayFolder="" count="2" memberValueDatatype="130" unbalanced="0">
      <fieldsUsage count="2">
        <fieldUsage x="-1"/>
        <fieldUsage x="3"/>
      </fieldsUsage>
    </cacheHierarchy>
    <cacheHierarchy uniqueName="[Laid off employees].[industry]" caption="industry" attribute="1" defaultMemberUniqueName="[Laid off employees].[industry].[All]" allUniqueName="[Laid off employees].[industry].[All]" dimensionUniqueName="[Laid off employees]" displayFolder="" count="2" memberValueDatatype="130" unbalanced="0">
      <fieldsUsage count="2">
        <fieldUsage x="-1"/>
        <fieldUsage x="2"/>
      </fieldsUsage>
    </cacheHierarchy>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2" memberValueDatatype="130" unbalanced="0">
      <fieldsUsage count="2">
        <fieldUsage x="-1"/>
        <fieldUsage x="4"/>
      </fieldsUsage>
    </cacheHierarchy>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5"/>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oneField="1">
      <fieldsUsage count="1">
        <fieldUsage x="0"/>
      </fieldsUsage>
    </cacheHierarchy>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3726851" backgroundQuery="1" createdVersion="8" refreshedVersion="8" minRefreshableVersion="3" recordCount="0" supportSubquery="1" supportAdvancedDrill="1" xr:uid="{DA20514D-2A54-4FC7-8996-46BFBCF06523}">
  <cacheSource type="external" connectionId="3"/>
  <cacheFields count="3">
    <cacheField name="[Laid off employees].[laid off signal].[laid off signal]" caption="laid off signal" numFmtId="0" hierarchy="12" level="1">
      <sharedItems count="2">
        <s v="OFF"/>
        <s v="ON"/>
      </sharedItems>
    </cacheField>
    <cacheField name="[Measures].[Distinct Count of company]" caption="Distinct Count of company" numFmtId="0" hierarchy="30"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0" memberValueDatatype="130" unbalanced="0"/>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2"/>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2" memberValueDatatype="130" unbalanced="0">
      <fieldsUsage count="2">
        <fieldUsage x="-1"/>
        <fieldUsage x="0"/>
      </fieldsUsage>
    </cacheHierarchy>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4189813" backgroundQuery="1" createdVersion="8" refreshedVersion="8" minRefreshableVersion="3" recordCount="0" supportSubquery="1" supportAdvancedDrill="1" xr:uid="{6F9C6F81-4114-446C-8DE5-4B497973E6B5}">
  <cacheSource type="external" connectionId="3"/>
  <cacheFields count="3">
    <cacheField name="[Laid off employees].[Funds raise Signal].[Funds raise Signal]" caption="Funds raise Signal" numFmtId="0" hierarchy="13" level="1">
      <sharedItems count="2">
        <s v="OFF"/>
        <s v="ON"/>
      </sharedItems>
    </cacheField>
    <cacheField name="[Measures].[Distinct Count of company]" caption="Distinct Count of company" numFmtId="0" hierarchy="30"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0" memberValueDatatype="130" unbalanced="0"/>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2"/>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2" memberValueDatatype="130" unbalanced="0">
      <fieldsUsage count="2">
        <fieldUsage x="-1"/>
        <fieldUsage x="0"/>
      </fieldsUsage>
    </cacheHierarchy>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4652775" backgroundQuery="1" createdVersion="8" refreshedVersion="8" minRefreshableVersion="3" recordCount="0" supportSubquery="1" supportAdvancedDrill="1" xr:uid="{7F3690B6-67BA-4A90-8AB7-ADE932FAE638}">
  <cacheSource type="external" connectionId="3"/>
  <cacheFields count="6">
    <cacheField name="[Laid off employees].[company].[company]" caption="company" numFmtId="0" hierarchy="1" level="1">
      <sharedItems count="10">
        <s v="Amazon"/>
        <s v="Better.com"/>
        <s v="Booking.com"/>
        <s v="Byju's"/>
        <s v="Carvana"/>
        <s v="Cisco"/>
        <s v="Dell"/>
        <s v="Ericsson"/>
        <s v="Google"/>
        <s v="IBM"/>
      </sharedItems>
    </cacheField>
    <cacheField name="[Laid off employees].[industry].[industry]" caption="industry" numFmtId="0" hierarchy="3" level="1">
      <sharedItems count="10">
        <s v="Consumer"/>
        <s v="Crypto"/>
        <s v="Finance"/>
        <s v="Food"/>
        <s v="Hardware"/>
        <s v="Healthcare"/>
        <s v="Other"/>
        <s v="Retail"/>
        <s v="Transportation"/>
        <s v="Travel"/>
      </sharedItems>
    </cacheField>
    <cacheField name="[Laid off employees].[location].[location]" caption="location" numFmtId="0" hierarchy="2" level="1">
      <sharedItems count="10">
        <s v="Amsterdam"/>
        <s v="Austin"/>
        <s v="Bengaluru"/>
        <s v="Chicago"/>
        <s v="New York City"/>
        <s v="Phoenix"/>
        <s v="Seattle"/>
        <s v="SF Bay Area"/>
        <s v="Singapore"/>
        <s v="Stockholm"/>
      </sharedItems>
    </cacheField>
    <cacheField name="[Laid off employees].[country].[country]" caption="country" numFmtId="0" hierarchy="7" level="1">
      <sharedItems count="10">
        <s v="Brazil"/>
        <s v="Canada"/>
        <s v="China"/>
        <s v="Germany"/>
        <s v="India"/>
        <s v="Indonesia"/>
        <s v="Israel"/>
        <s v="Singapore"/>
        <s v="United Kingdom"/>
        <s v="United States"/>
      </sharedItems>
    </cacheField>
    <cacheField name="[Measures].[Total Funds]" caption="Total Funds" numFmtId="0" hierarchy="16"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0"/>
      </fieldsUsage>
    </cacheHierarchy>
    <cacheHierarchy uniqueName="[Laid off employees].[location]" caption="location" attribute="1" defaultMemberUniqueName="[Laid off employees].[location].[All]" allUniqueName="[Laid off employees].[location].[All]" dimensionUniqueName="[Laid off employees]" displayFolder="" count="2" memberValueDatatype="130" unbalanced="0">
      <fieldsUsage count="2">
        <fieldUsage x="-1"/>
        <fieldUsage x="2"/>
      </fieldsUsage>
    </cacheHierarchy>
    <cacheHierarchy uniqueName="[Laid off employees].[industry]" caption="industry" attribute="1" defaultMemberUniqueName="[Laid off employees].[industry].[All]" allUniqueName="[Laid off employees].[industry].[All]" dimensionUniqueName="[Laid off employees]" displayFolder="" count="2" memberValueDatatype="130" unbalanced="0">
      <fieldsUsage count="2">
        <fieldUsage x="-1"/>
        <fieldUsage x="1"/>
      </fieldsUsage>
    </cacheHierarchy>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2" memberValueDatatype="130" unbalanced="0">
      <fieldsUsage count="2">
        <fieldUsage x="-1"/>
        <fieldUsage x="3"/>
      </fieldsUsage>
    </cacheHierarchy>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5"/>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oneField="1">
      <fieldsUsage count="1">
        <fieldUsage x="4"/>
      </fieldsUsage>
    </cacheHierarchy>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4999998" backgroundQuery="1" createdVersion="8" refreshedVersion="8" minRefreshableVersion="3" recordCount="0" supportSubquery="1" supportAdvancedDrill="1" xr:uid="{A9429E84-B2D2-4EDA-BB11-7D6BC6428267}">
  <cacheSource type="external" connectionId="3"/>
  <cacheFields count="4">
    <cacheField name="[Measures].[Total Laid Off]" caption="Total Laid Off" numFmtId="0" hierarchy="15" level="32767"/>
    <cacheField name="[Laid off employees].[Month Name].[Month Name]" caption="Month Name" numFmtId="0" hierarchy="11" level="1">
      <sharedItems count="12">
        <s v="Jan"/>
        <s v="Feb"/>
        <s v="Mar"/>
        <s v="Apr"/>
        <s v="May"/>
        <s v="Jun"/>
        <s v="Jul"/>
        <s v="Aug"/>
        <s v="Sep"/>
        <s v="Oct"/>
        <s v="Nov"/>
        <s v="Dec"/>
      </sharedItems>
    </cacheField>
    <cacheField name="[Measures].[Sum of funds_raised_millions]" caption="Sum of funds_raised_millions" numFmtId="0" hierarchy="29"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0" memberValueDatatype="130" unbalanced="0"/>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3"/>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2" memberValueDatatype="130" unbalanced="0">
      <fieldsUsage count="2">
        <fieldUsage x="-1"/>
        <fieldUsage x="1"/>
      </fieldsUsage>
    </cacheHierarchy>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oneField="1">
      <fieldsUsage count="1">
        <fieldUsage x="0"/>
      </fieldsUsage>
    </cacheHierarchy>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oneField="1" hidden="1">
      <fieldsUsage count="1">
        <fieldUsage x="2"/>
      </fieldsUsage>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5694445" backgroundQuery="1" createdVersion="8" refreshedVersion="8" minRefreshableVersion="3" recordCount="0" supportSubquery="1" supportAdvancedDrill="1" xr:uid="{348F140C-EBCD-4E1B-80F2-15D439A948F8}">
  <cacheSource type="external" connectionId="3"/>
  <cacheFields count="5">
    <cacheField name="[Laid off employees].[company].[company]" caption="company" numFmtId="0" hierarchy="1" level="1">
      <sharedItems count="10">
        <s v="Amazon"/>
        <s v="Better.com"/>
        <s v="Booking.com"/>
        <s v="Byju's"/>
        <s v="Carvana"/>
        <s v="Cisco"/>
        <s v="Dell"/>
        <s v="Ericsson"/>
        <s v="Google"/>
        <s v="IBM"/>
      </sharedItems>
    </cacheField>
    <cacheField name="[Laid off employees].[industry].[industry]" caption="industry" numFmtId="0" hierarchy="3" level="1">
      <sharedItems count="10">
        <s v="Consumer"/>
        <s v="Crypto"/>
        <s v="Finance"/>
        <s v="Food"/>
        <s v="Hardware"/>
        <s v="Healthcare"/>
        <s v="Other"/>
        <s v="Retail"/>
        <s v="Transportation"/>
        <s v="Travel"/>
      </sharedItems>
    </cacheField>
    <cacheField name="[Laid off employees].[location].[location]" caption="location" numFmtId="0" hierarchy="2" level="1">
      <sharedItems count="10">
        <s v="Bengaluru"/>
        <s v="Berlin"/>
        <s v="Boston"/>
        <s v="Jakarta"/>
        <s v="London"/>
        <s v="New York City"/>
        <s v="Philadelphia"/>
        <s v="SF Bay Area"/>
        <s v="Shanghai"/>
        <s v="Singapore"/>
      </sharedItems>
    </cacheField>
    <cacheField name="[Measures].[Total Funds]" caption="Total Funds" numFmtId="0" hierarchy="16"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0"/>
      </fieldsUsage>
    </cacheHierarchy>
    <cacheHierarchy uniqueName="[Laid off employees].[location]" caption="location" attribute="1" defaultMemberUniqueName="[Laid off employees].[location].[All]" allUniqueName="[Laid off employees].[location].[All]" dimensionUniqueName="[Laid off employees]" displayFolder="" count="2" memberValueDatatype="130" unbalanced="0">
      <fieldsUsage count="2">
        <fieldUsage x="-1"/>
        <fieldUsage x="2"/>
      </fieldsUsage>
    </cacheHierarchy>
    <cacheHierarchy uniqueName="[Laid off employees].[industry]" caption="industry" attribute="1" defaultMemberUniqueName="[Laid off employees].[industry].[All]" allUniqueName="[Laid off employees].[industry].[All]" dimensionUniqueName="[Laid off employees]" displayFolder="" count="2" memberValueDatatype="130" unbalanced="0">
      <fieldsUsage count="2">
        <fieldUsage x="-1"/>
        <fieldUsage x="1"/>
      </fieldsUsage>
    </cacheHierarchy>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4"/>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oneField="1">
      <fieldsUsage count="1">
        <fieldUsage x="3"/>
      </fieldsUsage>
    </cacheHierarchy>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6273145" backgroundQuery="1" createdVersion="8" refreshedVersion="8" minRefreshableVersion="3" recordCount="0" supportSubquery="1" supportAdvancedDrill="1" xr:uid="{82DAA728-57C6-4EC6-8784-067415E23C6F}">
  <cacheSource type="external" connectionId="3"/>
  <cacheFields count="4">
    <cacheField name="[Laid off employees].[company].[company]" caption="company" numFmtId="0" hierarchy="1" level="1">
      <sharedItems count="10">
        <s v="Amazon"/>
        <s v="Better.com"/>
        <s v="Booking.com"/>
        <s v="Byju's"/>
        <s v="Carvana"/>
        <s v="Cisco"/>
        <s v="Dell"/>
        <s v="Ericsson"/>
        <s v="Google"/>
        <s v="IBM"/>
      </sharedItems>
    </cacheField>
    <cacheField name="[Laid off employees].[industry].[industry]" caption="industry" numFmtId="0" hierarchy="3" level="1">
      <sharedItems count="10">
        <s v="Consumer"/>
        <s v="Crypto"/>
        <s v="Education"/>
        <s v="Finance"/>
        <s v="Food"/>
        <s v="Healthcare"/>
        <s v="Other"/>
        <s v="Real Estate"/>
        <s v="Retail"/>
        <s v="Transportation"/>
      </sharedItems>
    </cacheField>
    <cacheField name="[Measures].[Total Funds]" caption="Total Funds" numFmtId="0" hierarchy="16"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0"/>
      </fieldsUsage>
    </cacheHierarchy>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2" memberValueDatatype="130" unbalanced="0">
      <fieldsUsage count="2">
        <fieldUsage x="-1"/>
        <fieldUsage x="1"/>
      </fieldsUsage>
    </cacheHierarchy>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3"/>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oneField="1">
      <fieldsUsage count="1">
        <fieldUsage x="2"/>
      </fieldsUsage>
    </cacheHierarchy>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4.892427199076" backgroundQuery="1" createdVersion="8" refreshedVersion="8" minRefreshableVersion="3" recordCount="0" supportSubquery="1" supportAdvancedDrill="1" xr:uid="{02263D2D-7C71-4D5E-9FAB-060B9BAF4067}">
  <cacheSource type="external" connectionId="3"/>
  <cacheFields count="3">
    <cacheField name="[Laid off employees].[company].[company]" caption="company" numFmtId="0" hierarchy="1" level="1">
      <sharedItems count="10">
        <s v="Airbnb"/>
        <s v="Argo AI"/>
        <s v="Byju's"/>
        <s v="Bytedance"/>
        <s v="Compass"/>
        <s v="Delivery Hero"/>
        <s v="Flipkart"/>
        <s v="Getir"/>
        <s v="Gopuff"/>
        <s v="Grab"/>
      </sharedItems>
    </cacheField>
    <cacheField name="[Measures].[Total Funds]" caption="Total Funds" numFmtId="0" hierarchy="16" level="32767"/>
    <cacheField name="[Laid off employees].[Year].[Year]" caption="Year" numFmtId="0" hierarchy="9" level="1">
      <sharedItems containsSemiMixedTypes="0" containsNonDate="0" containsString="0"/>
    </cacheField>
  </cacheFields>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2" memberValueDatatype="130" unbalanced="0">
      <fieldsUsage count="2">
        <fieldUsage x="-1"/>
        <fieldUsage x="0"/>
      </fieldsUsage>
    </cacheHierarchy>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fieldsUsage count="2">
        <fieldUsage x="-1"/>
        <fieldUsage x="2"/>
      </fieldsUsage>
    </cacheHierarchy>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oneField="1">
      <fieldsUsage count="1">
        <fieldUsage x="1"/>
      </fieldsUsage>
    </cacheHierarchy>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dimensions count="3">
    <dimension name="A" uniqueName="[A]" caption="A"/>
    <dimension name="Laid off employees" uniqueName="[Laid off employees]" caption="Laid off employees"/>
    <dimension measure="1" name="Measures" uniqueName="[Measures]" caption="Measures"/>
  </dimensions>
  <measureGroups count="2">
    <measureGroup name="A" caption="A"/>
    <measureGroup name="Laid off employees" caption="Laid off employe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373134027781" backgroundQuery="1" createdVersion="3" refreshedVersion="8" minRefreshableVersion="3" recordCount="0" supportSubquery="1" supportAdvancedDrill="1" xr:uid="{7CE8A4E6-B50B-4869-8215-EC8C1FB28E52}">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A].[Measures]" caption="Measures" attribute="1" defaultMemberUniqueName="[A].[Measures].[All]" allUniqueName="[A].[Measures].[All]" dimensionUniqueName="[A]" displayFolder="" count="0" memberValueDatatype="130" unbalanced="0"/>
    <cacheHierarchy uniqueName="[Laid off employees].[company]" caption="company" attribute="1" defaultMemberUniqueName="[Laid off employees].[company].[All]" allUniqueName="[Laid off employees].[company].[All]" dimensionUniqueName="[Laid off employees]" displayFolder="" count="0" memberValueDatatype="130" unbalanced="0"/>
    <cacheHierarchy uniqueName="[Laid off employees].[location]" caption="location" attribute="1" defaultMemberUniqueName="[Laid off employees].[location].[All]" allUniqueName="[Laid off employees].[location].[All]" dimensionUniqueName="[Laid off employees]" displayFolder="" count="0" memberValueDatatype="130" unbalanced="0"/>
    <cacheHierarchy uniqueName="[Laid off employees].[industry]" caption="industry" attribute="1" defaultMemberUniqueName="[Laid off employees].[industry].[All]" allUniqueName="[Laid off employees].[industry].[All]" dimensionUniqueName="[Laid off employees]" displayFolder="" count="0" memberValueDatatype="130" unbalanced="0"/>
    <cacheHierarchy uniqueName="[Laid off employees].[total_laid_off]" caption="total_laid_off" attribute="1" defaultMemberUniqueName="[Laid off employees].[total_laid_off].[All]" allUniqueName="[Laid off employees].[total_laid_off].[All]" dimensionUniqueName="[Laid off employees]" displayFolder="" count="0" memberValueDatatype="20" unbalanced="0"/>
    <cacheHierarchy uniqueName="[Laid off employees].[date]" caption="date" attribute="1" time="1" defaultMemberUniqueName="[Laid off employees].[date].[All]" allUniqueName="[Laid off employees].[date].[All]" dimensionUniqueName="[Laid off employees]" displayFolder="" count="0" memberValueDatatype="7" unbalanced="0"/>
    <cacheHierarchy uniqueName="[Laid off employees].[stage]" caption="stage" attribute="1" defaultMemberUniqueName="[Laid off employees].[stage].[All]" allUniqueName="[Laid off employees].[stage].[All]" dimensionUniqueName="[Laid off employees]" displayFolder="" count="0" memberValueDatatype="130" unbalanced="0"/>
    <cacheHierarchy uniqueName="[Laid off employees].[country]" caption="country" attribute="1" defaultMemberUniqueName="[Laid off employees].[country].[All]" allUniqueName="[Laid off employees].[country].[All]" dimensionUniqueName="[Laid off employees]" displayFolder="" count="0" memberValueDatatype="130" unbalanced="0"/>
    <cacheHierarchy uniqueName="[Laid off employees].[funds_raised_millions]" caption="funds_raised_millions" attribute="1" defaultMemberUniqueName="[Laid off employees].[funds_raised_millions].[All]" allUniqueName="[Laid off employees].[funds_raised_millions].[All]" dimensionUniqueName="[Laid off employees]" displayFolder="" count="0" memberValueDatatype="20" unbalanced="0"/>
    <cacheHierarchy uniqueName="[Laid off employees].[Year]" caption="Year" attribute="1" defaultMemberUniqueName="[Laid off employees].[Year].[All]" allUniqueName="[Laid off employees].[Year].[All]" dimensionUniqueName="[Laid off employees]" displayFolder="" count="2" memberValueDatatype="20" unbalanced="0"/>
    <cacheHierarchy uniqueName="[Laid off employees].[Month]" caption="Month" attribute="1" defaultMemberUniqueName="[Laid off employees].[Month].[All]" allUniqueName="[Laid off employees].[Month].[All]" dimensionUniqueName="[Laid off employees]" displayFolder="" count="0" memberValueDatatype="20" unbalanced="0"/>
    <cacheHierarchy uniqueName="[Laid off employees].[Month Name]" caption="Month Name" attribute="1" defaultMemberUniqueName="[Laid off employees].[Month Name].[All]" allUniqueName="[Laid off employees].[Month Name].[All]" dimensionUniqueName="[Laid off employees]" displayFolder="" count="0" memberValueDatatype="130" unbalanced="0"/>
    <cacheHierarchy uniqueName="[Laid off employees].[laid off signal]" caption="laid off signal" attribute="1" defaultMemberUniqueName="[Laid off employees].[laid off signal].[All]" allUniqueName="[Laid off employees].[laid off signal].[All]" dimensionUniqueName="[Laid off employees]" displayFolder="" count="0" memberValueDatatype="130" unbalanced="0"/>
    <cacheHierarchy uniqueName="[Laid off employees].[Funds raise Signal]" caption="Funds raise Signal" attribute="1" defaultMemberUniqueName="[Laid off employees].[Funds raise Signal].[All]" allUniqueName="[Laid off employees].[Funds raise Signal].[All]" dimensionUniqueName="[Laid off employees]" displayFolder="" count="0" memberValueDatatype="130" unbalanced="0"/>
    <cacheHierarchy uniqueName="[Laid off employees].[Funds Raised]" caption="Funds Raised" attribute="1" defaultMemberUniqueName="[Laid off employees].[Funds Raised].[All]" allUniqueName="[Laid off employees].[Funds Raised].[All]" dimensionUniqueName="[Laid off employees]" displayFolder="" count="0" memberValueDatatype="20" unbalanced="0"/>
    <cacheHierarchy uniqueName="[Measures].[Total Laid Off]" caption="Total Laid Off" measure="1" displayFolder="" measureGroup="A" count="0"/>
    <cacheHierarchy uniqueName="[Measures].[Total Funds]" caption="Total Funds" measure="1" displayFolder="" measureGroup="A" count="0"/>
    <cacheHierarchy uniqueName="[Measures].[Total Company]" caption="Total Company" measure="1" displayFolder="" measureGroup="A" count="0"/>
    <cacheHierarchy uniqueName="[Measures].[Total Industry]" caption="Total Industry" measure="1" displayFolder="" measureGroup="A" count="0"/>
    <cacheHierarchy uniqueName="[Measures].[#Transaction]" caption="#Transaction" measure="1" displayFolder="" measureGroup="A" count="0"/>
    <cacheHierarchy uniqueName="[Measures].[Total Fund Raised]" caption="Total Fund Raised" measure="1" displayFolder="" measureGroup="A" count="0"/>
    <cacheHierarchy uniqueName="[Measures].[__XL_Count Laid off employees]" caption="__XL_Count Laid off employees" measure="1" displayFolder="" measureGroup="Laid off employees" count="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Count of laid off signal]" caption="Count of laid off signal" measure="1" displayFolder="" measureGroup="Laid off employees" count="0" hidden="1">
      <extLst>
        <ext xmlns:x15="http://schemas.microsoft.com/office/spreadsheetml/2010/11/main" uri="{B97F6D7D-B522-45F9-BDA1-12C45D357490}">
          <x15:cacheHierarchy aggregatedColumn="12"/>
        </ext>
      </extLst>
    </cacheHierarchy>
    <cacheHierarchy uniqueName="[Measures].[Count of industry]" caption="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Distinct Count of industry]" caption="Distinct Count of industry" measure="1" displayFolder="" measureGroup="Laid off employees" count="0" hidden="1">
      <extLst>
        <ext xmlns:x15="http://schemas.microsoft.com/office/spreadsheetml/2010/11/main" uri="{B97F6D7D-B522-45F9-BDA1-12C45D357490}">
          <x15:cacheHierarchy aggregatedColumn="3"/>
        </ext>
      </extLst>
    </cacheHierarchy>
    <cacheHierarchy uniqueName="[Measures].[Count of company]" caption="Count of company" measure="1" displayFolder="" measureGroup="Laid off employees" count="0" hidden="1">
      <extLst>
        <ext xmlns:x15="http://schemas.microsoft.com/office/spreadsheetml/2010/11/main" uri="{B97F6D7D-B522-45F9-BDA1-12C45D357490}">
          <x15:cacheHierarchy aggregatedColumn="1"/>
        </ext>
      </extLst>
    </cacheHierarchy>
    <cacheHierarchy uniqueName="[Measures].[Sum of Funds Raised]" caption="Sum of Funds Raised" measure="1" displayFolder="" measureGroup="Laid off employees" count="0" hidden="1">
      <extLst>
        <ext xmlns:x15="http://schemas.microsoft.com/office/spreadsheetml/2010/11/main" uri="{B97F6D7D-B522-45F9-BDA1-12C45D357490}">
          <x15:cacheHierarchy aggregatedColumn="14"/>
        </ext>
      </extLst>
    </cacheHierarchy>
    <cacheHierarchy uniqueName="[Measures].[Sum of funds_raised_millions]" caption="Sum of funds_raised_millions" measure="1" displayFolder="" measureGroup="Laid off employees" count="0" hidden="1">
      <extLst>
        <ext xmlns:x15="http://schemas.microsoft.com/office/spreadsheetml/2010/11/main" uri="{B97F6D7D-B522-45F9-BDA1-12C45D357490}">
          <x15:cacheHierarchy aggregatedColumn="8"/>
        </ext>
      </extLst>
    </cacheHierarchy>
    <cacheHierarchy uniqueName="[Measures].[Distinct Count of company]" caption="Distinct Count of company" measure="1" displayFolder="" measureGroup="Laid off employee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831504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49389-282D-4C14-8620-9D631FFF8AE8}" name="PivotTable8" cacheId="11" applyNumberFormats="0" applyBorderFormats="0" applyFontFormats="0" applyPatternFormats="0" applyAlignmentFormats="0" applyWidthHeightFormats="1" dataCaption="Values" tag="f5e8b7cd-d2ed-4040-b37a-082691ef5563" updatedVersion="8" minRefreshableVersion="3" useAutoFormatting="1" subtotalHiddenItems="1" rowGrandTotals="0" colGrandTotals="0" itemPrintTitles="1" createdVersion="8" indent="0" outline="1" outlineData="1" multipleFieldFilters="0" rowHeaderCaption="Industry">
  <location ref="AD34:AE4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fld="2" subtotal="count" baseField="0" baseItem="0" numFmtId="166"/>
  </dataFields>
  <formats count="1">
    <format dxfId="0">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2">
    <filter fld="0" type="count" id="1" iMeasureHier="15">
      <autoFilter ref="A1">
        <filterColumn colId="0">
          <top10 val="10" filterVal="10"/>
        </filterColumn>
      </autoFilter>
    </filter>
    <filter fld="1" type="count" id="3" iMeasureHier="1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DD0515-1369-47BE-94B2-E502F55802CC}" name="PivotTable14" cacheId="3" applyNumberFormats="0" applyBorderFormats="0" applyFontFormats="0" applyPatternFormats="0" applyAlignmentFormats="0" applyWidthHeightFormats="1" dataCaption="Values" tag="f5e8b7cd-d2ed-4040-b37a-082691ef5563" updatedVersion="8" minRefreshableVersion="3" useAutoFormatting="1" subtotalHiddenItems="1" rowGrandTotals="0" colGrandTotals="0" itemPrintTitles="1" createdVersion="8" indent="0" outline="1" outlineData="1" multipleFieldFilters="0" rowHeaderCaption="Industry">
  <location ref="AD4:AE14"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0">
    <i>
      <x/>
    </i>
    <i>
      <x v="1"/>
    </i>
    <i>
      <x v="2"/>
    </i>
    <i>
      <x v="3"/>
    </i>
    <i>
      <x v="4"/>
    </i>
    <i>
      <x v="5"/>
    </i>
    <i>
      <x v="6"/>
    </i>
    <i>
      <x v="7"/>
    </i>
    <i>
      <x v="8"/>
    </i>
    <i>
      <x v="9"/>
    </i>
  </rowItems>
  <colItems count="1">
    <i/>
  </colItems>
  <dataFields count="1">
    <dataField fld="0" subtotal="count" baseField="0" baseItem="0" numFmtId="164"/>
  </dataFields>
  <formats count="1">
    <format dxfId="1">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2">
    <filter fld="1" type="count" id="1" iMeasureHier="15">
      <autoFilter ref="A1">
        <filterColumn colId="0">
          <top10 val="10" filterVal="10"/>
        </filterColumn>
      </autoFilter>
    </filter>
    <filter fld="2" type="count" id="2" iMeasureHier="1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2DDAF-5370-499B-8971-53353565B589}" name="PivotTable2" cacheId="6" applyNumberFormats="0" applyBorderFormats="0" applyFontFormats="0" applyPatternFormats="0" applyAlignmentFormats="0" applyWidthHeightFormats="1" dataCaption="Values" tag="ef33bbb5-8859-47d4-b8dc-0266d4f4c3b7" updatedVersion="8" minRefreshableVersion="3" useAutoFormatting="1" rowGrandTotals="0" colGrandTotals="0" itemPrintTitles="1" createdVersion="8" indent="0" outline="1" outlineData="1" multipleFieldFilters="0" chartFormat="5">
  <location ref="C9:D11"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v="1"/>
    </i>
    <i>
      <x/>
    </i>
  </rowItems>
  <colItems count="1">
    <i/>
  </colItems>
  <dataFields count="1">
    <dataField name="Distinct Count of company" fld="1" subtotal="count" baseField="0" baseItem="0">
      <extLst>
        <ext xmlns:x15="http://schemas.microsoft.com/office/spreadsheetml/2010/11/main" uri="{FABC7310-3BB5-11E1-824E-6D434824019B}">
          <x15:dataField isCountDistinct="1"/>
        </ext>
      </extLst>
    </dataField>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pivotHierarchy dragToData="1" caption="Distinct Count of company"/>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11AAD-1BDD-4288-879D-0022C1F87242}" name="PivotTable1" cacheId="1" applyNumberFormats="0" applyBorderFormats="0" applyFontFormats="0" applyPatternFormats="0" applyAlignmentFormats="0" applyWidthHeightFormats="1" dataCaption="Values" tag="3ac38b13-e8a2-4956-b381-86e0e55af6ac" updatedVersion="8" minRefreshableVersion="3" useAutoFormatting="1" itemPrintTitles="1" createdVersion="8" indent="0" outline="1" outlineData="1" multipleFieldFilters="0">
  <location ref="C4:G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6"/>
    <dataField fld="2" subtotal="count" baseField="0" baseItem="0"/>
    <dataField fld="3" subtotal="count" baseField="0" baseItem="0"/>
    <dataField fld="4" subtotal="count" baseField="0" baseItem="0"/>
  </dataFields>
  <formats count="2">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82CBA8-C495-4B92-BF75-81EEC09381BD}" name="PivotTable16" cacheId="5" applyNumberFormats="0" applyBorderFormats="0" applyFontFormats="0" applyPatternFormats="0" applyAlignmentFormats="0" applyWidthHeightFormats="1" dataCaption="Values" tag="5736b994-e0fe-4e3f-99a0-37e1b903ebd2" updatedVersion="8" minRefreshableVersion="3" useAutoFormatting="1" subtotalHiddenItems="1" rowGrandTotals="0" colGrandTotals="0" itemPrintTitles="1" createdVersion="8" indent="0" outline="1" outlineData="1" multipleFieldFilters="0" rowHeaderCaption="Country">
  <location ref="AJ4:AK14" firstHeaderRow="1" firstDataRow="1" firstDataCol="1"/>
  <pivotFields count="6">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4"/>
  </rowFields>
  <rowItems count="10">
    <i>
      <x/>
    </i>
    <i>
      <x v="1"/>
    </i>
    <i>
      <x v="2"/>
    </i>
    <i>
      <x v="3"/>
    </i>
    <i>
      <x v="4"/>
    </i>
    <i>
      <x v="5"/>
    </i>
    <i>
      <x v="6"/>
    </i>
    <i>
      <x v="7"/>
    </i>
    <i>
      <x v="8"/>
    </i>
    <i>
      <x v="9"/>
    </i>
  </rowItems>
  <colItems count="1">
    <i/>
  </colItems>
  <dataFields count="1">
    <dataField fld="0" subtotal="count" baseField="0" baseItem="0" numFmtId="164"/>
  </dataFields>
  <formats count="1">
    <format dxfId="4">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4">
    <filter fld="1" type="count" id="1" iMeasureHier="15">
      <autoFilter ref="A1">
        <filterColumn colId="0">
          <top10 val="10" filterVal="10"/>
        </filterColumn>
      </autoFilter>
    </filter>
    <filter fld="2" type="count" id="2" iMeasureHier="15">
      <autoFilter ref="A1">
        <filterColumn colId="0">
          <top10 val="10" filterVal="10"/>
        </filterColumn>
      </autoFilter>
    </filter>
    <filter fld="3" type="count" id="3" iMeasureHier="15">
      <autoFilter ref="A1">
        <filterColumn colId="0">
          <top10 val="10" filterVal="10"/>
        </filterColumn>
      </autoFilter>
    </filter>
    <filter fld="4" type="count" id="4" iMeasureHier="1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32FFB2-29AF-4D25-8574-794569BB2838}" name="PivotTable6" cacheId="9" applyNumberFormats="0" applyBorderFormats="0" applyFontFormats="0" applyPatternFormats="0" applyAlignmentFormats="0" applyWidthHeightFormats="1" dataCaption="Values" tag="1b78c6ae-8527-48ee-bf77-e7af1728847f" updatedVersion="8" minRefreshableVersion="3" useAutoFormatting="1" rowGrandTotals="0" colGrandTotals="0" itemPrintTitles="1" createdVersion="8" indent="0" outline="1" outlineData="1" multipleFieldFilters="0" rowHeaderCaption="Months">
  <location ref="R4:T16"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name="funds_raised_millions" fld="2" baseField="1" baseItem="0" numFmtId="166"/>
  </dataFields>
  <formats count="3">
    <format dxfId="7">
      <pivotArea outline="0" collapsedLevelsAreSubtotals="1" fieldPosition="0"/>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17E9A7-6640-4C89-BBDA-63C8BC8FF165}" name="PivotTable15" cacheId="4" applyNumberFormats="0" applyBorderFormats="0" applyFontFormats="0" applyPatternFormats="0" applyAlignmentFormats="0" applyWidthHeightFormats="1" dataCaption="Values" tag="eae777b4-277c-4c53-8211-f32c3ddc684e" updatedVersion="8" minRefreshableVersion="3" useAutoFormatting="1" subtotalHiddenItems="1" rowGrandTotals="0" colGrandTotals="0" itemPrintTitles="1" createdVersion="8" indent="0" outline="1" outlineData="1" multipleFieldFilters="0" rowHeaderCaption="Location">
  <location ref="AG4:AH14" firstHeaderRow="1" firstDataRow="1" firstDataCol="1"/>
  <pivotFields count="5">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0">
    <i>
      <x/>
    </i>
    <i>
      <x v="1"/>
    </i>
    <i>
      <x v="2"/>
    </i>
    <i>
      <x v="3"/>
    </i>
    <i>
      <x v="4"/>
    </i>
    <i>
      <x v="5"/>
    </i>
    <i>
      <x v="6"/>
    </i>
    <i>
      <x v="7"/>
    </i>
    <i>
      <x v="8"/>
    </i>
    <i>
      <x v="9"/>
    </i>
  </rowItems>
  <colItems count="1">
    <i/>
  </colItems>
  <dataFields count="1">
    <dataField fld="0" subtotal="count" baseField="0" baseItem="0" numFmtId="164"/>
  </dataFields>
  <formats count="1">
    <format dxfId="8">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3">
    <filter fld="1" type="count" id="1" iMeasureHier="15">
      <autoFilter ref="A1">
        <filterColumn colId="0">
          <top10 val="10" filterVal="10"/>
        </filterColumn>
      </autoFilter>
    </filter>
    <filter fld="2" type="count" id="2" iMeasureHier="15">
      <autoFilter ref="A1">
        <filterColumn colId="0">
          <top10 val="10" filterVal="10"/>
        </filterColumn>
      </autoFilter>
    </filter>
    <filter fld="3" type="count" id="3" iMeasureHier="1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240474-8FFF-4F51-94BF-6AFB2696CE7E}" name="PivotTable3" cacheId="7" applyNumberFormats="0" applyBorderFormats="0" applyFontFormats="0" applyPatternFormats="0" applyAlignmentFormats="0" applyWidthHeightFormats="1" dataCaption="Values" tag="feccf2aa-27d8-426f-9873-b48677bdd603" updatedVersion="8" minRefreshableVersion="3" useAutoFormatting="1" rowGrandTotals="0" colGrandTotals="0" itemPrintTitles="1" createdVersion="8" indent="0" outline="1" outlineData="1" multipleFieldFilters="0" chartFormat="5">
  <location ref="F9:G11"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v="1"/>
    </i>
    <i>
      <x/>
    </i>
  </rowItems>
  <colItems count="1">
    <i/>
  </colItems>
  <dataFields count="1">
    <dataField name="Distinct Count of company" fld="1" subtotal="count" baseField="0" baseItem="0">
      <extLst>
        <ext xmlns:x15="http://schemas.microsoft.com/office/spreadsheetml/2010/11/main" uri="{FABC7310-3BB5-11E1-824E-6D434824019B}">
          <x15:dataField isCountDistinct="1"/>
        </ext>
      </extLst>
    </dataField>
  </dataField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pivotHierarchy dragToData="1" caption="Distinct Count of company"/>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FC33DA-5B65-4497-A627-723B1B19355E}" name="PivotTable7" cacheId="10" applyNumberFormats="0" applyBorderFormats="0" applyFontFormats="0" applyPatternFormats="0" applyAlignmentFormats="0" applyWidthHeightFormats="1" dataCaption="Values" tag="eae777b4-277c-4c53-8211-f32c3ddc684e" updatedVersion="8" minRefreshableVersion="3" useAutoFormatting="1" subtotalHiddenItems="1" rowGrandTotals="0" colGrandTotals="0" itemPrintTitles="1" createdVersion="8" indent="0" outline="1" outlineData="1" multipleFieldFilters="0" rowHeaderCaption="Location">
  <location ref="AG34:AH44"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0">
    <i>
      <x/>
    </i>
    <i>
      <x v="1"/>
    </i>
    <i>
      <x v="2"/>
    </i>
    <i>
      <x v="3"/>
    </i>
    <i>
      <x v="4"/>
    </i>
    <i>
      <x v="5"/>
    </i>
    <i>
      <x v="6"/>
    </i>
    <i>
      <x v="7"/>
    </i>
    <i>
      <x v="8"/>
    </i>
    <i>
      <x v="9"/>
    </i>
  </rowItems>
  <colItems count="1">
    <i/>
  </colItems>
  <dataFields count="1">
    <dataField fld="3" subtotal="count" baseField="0" baseItem="0" numFmtId="166"/>
  </dataFields>
  <formats count="1">
    <format dxfId="9">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3">
    <filter fld="0" type="count" id="1" iMeasureHier="15">
      <autoFilter ref="A1">
        <filterColumn colId="0">
          <top10 val="10" filterVal="10"/>
        </filterColumn>
      </autoFilter>
    </filter>
    <filter fld="1" type="count" id="2" iMeasureHier="15">
      <autoFilter ref="A1">
        <filterColumn colId="0">
          <top10 val="10" filterVal="10"/>
        </filterColumn>
      </autoFilter>
    </filter>
    <filter fld="2" type="count" id="4" iMeasureHier="1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62F835-942C-4282-ADB9-3614999B6DE8}" name="PivotTable4" cacheId="0" applyNumberFormats="0" applyBorderFormats="0" applyFontFormats="0" applyPatternFormats="0" applyAlignmentFormats="0" applyWidthHeightFormats="1" dataCaption="Values" tag="37fd6877-b968-47f7-b2d3-acab07370640" updatedVersion="8" minRefreshableVersion="3" useAutoFormatting="1" rowGrandTotals="0" colGrandTotals="0" itemPrintTitles="1" createdVersion="8" indent="0" outline="1" outlineData="1" multipleFieldFilters="0" rowHeaderCaption="Year">
  <location ref="K4:M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fld="1" subtotal="count" baseField="0" baseItem="0" numFmtId="165"/>
    <dataField name="funds_raised_millions" fld="2" baseField="0" baseItem="0" numFmtId="166"/>
  </dataFields>
  <formats count="3">
    <format dxfId="12">
      <pivotArea outline="0" collapsedLevelsAreSubtotals="1" fieldPosition="0"/>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2A150C-6CF4-43BC-BDC6-F8589773BF9A}" name="PivotTable5" cacheId="8" applyNumberFormats="0" applyBorderFormats="0" applyFontFormats="0" applyPatternFormats="0" applyAlignmentFormats="0" applyWidthHeightFormats="1" dataCaption="Values" tag="5736b994-e0fe-4e3f-99a0-37e1b903ebd2" updatedVersion="8" minRefreshableVersion="3" useAutoFormatting="1" subtotalHiddenItems="1" rowGrandTotals="0" colGrandTotals="0" itemPrintTitles="1" createdVersion="8" indent="0" outline="1" outlineData="1" multipleFieldFilters="0" rowHeaderCaption="Country">
  <location ref="AJ34:AK44"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0">
    <i>
      <x/>
    </i>
    <i>
      <x v="1"/>
    </i>
    <i>
      <x v="2"/>
    </i>
    <i>
      <x v="3"/>
    </i>
    <i>
      <x v="4"/>
    </i>
    <i>
      <x v="5"/>
    </i>
    <i>
      <x v="6"/>
    </i>
    <i>
      <x v="7"/>
    </i>
    <i>
      <x v="8"/>
    </i>
    <i>
      <x v="9"/>
    </i>
  </rowItems>
  <colItems count="1">
    <i/>
  </colItems>
  <dataFields count="1">
    <dataField fld="4" subtotal="count" baseField="0" baseItem="0" numFmtId="166"/>
  </dataFields>
  <formats count="1">
    <format dxfId="13">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4">
    <filter fld="0" type="count" id="1" iMeasureHier="15">
      <autoFilter ref="A1">
        <filterColumn colId="0">
          <top10 val="10" filterVal="10"/>
        </filterColumn>
      </autoFilter>
    </filter>
    <filter fld="1" type="count" id="2" iMeasureHier="15">
      <autoFilter ref="A1">
        <filterColumn colId="0">
          <top10 val="10" filterVal="10"/>
        </filterColumn>
      </autoFilter>
    </filter>
    <filter fld="2" type="count" id="3" iMeasureHier="15">
      <autoFilter ref="A1">
        <filterColumn colId="0">
          <top10 val="10" filterVal="10"/>
        </filterColumn>
      </autoFilter>
    </filter>
    <filter fld="3" type="count" id="5" iMeasureHier="1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D3DED5-C782-4190-93D4-ED957E318B10}" name="PivotTable13" cacheId="2" applyNumberFormats="0" applyBorderFormats="0" applyFontFormats="0" applyPatternFormats="0" applyAlignmentFormats="0" applyWidthHeightFormats="1" dataCaption="Values" tag="569964d7-a3eb-47d7-af5b-a94a3a91c8b9" updatedVersion="8" minRefreshableVersion="3" useAutoFormatting="1" subtotalHiddenItems="1" rowGrandTotals="0" colGrandTotals="0" itemPrintTitles="1" createdVersion="8" indent="0" outline="1" outlineData="1" multipleFieldFilters="0" rowHeaderCaption="Company">
  <location ref="AA4:AB14" firstHeaderRow="1" firstDataRow="1" firstDataCol="1"/>
  <pivotFields count="3">
    <pivotField axis="axisRow" allDrilled="1" subtotalTop="0" showAll="0" measureFilter="1" defaultSubtotal="0" defaultAttributeDrillState="1">
      <items count="10">
        <item x="0"/>
        <item x="3"/>
        <item x="6"/>
        <item x="7"/>
        <item x="8"/>
        <item x="9"/>
        <item x="1"/>
        <item x="2"/>
        <item x="4"/>
        <item x="5"/>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formats count="1">
    <format dxfId="14">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44EFF8-6AB2-4CD3-AA8A-ABE82BBF663A}" name="PivotTable9" cacheId="12" applyNumberFormats="0" applyBorderFormats="0" applyFontFormats="0" applyPatternFormats="0" applyAlignmentFormats="0" applyWidthHeightFormats="1" dataCaption="Values" tag="569964d7-a3eb-47d7-af5b-a94a3a91c8b9" updatedVersion="8" minRefreshableVersion="3" useAutoFormatting="1" subtotalHiddenItems="1" rowGrandTotals="0" colGrandTotals="0" itemPrintTitles="1" createdVersion="8" indent="0" outline="1" outlineData="1" multipleFieldFilters="0" rowHeaderCaption="Company">
  <location ref="AA34:AB44" firstHeaderRow="1" firstDataRow="1" firstDataCol="1"/>
  <pivotFields count="3">
    <pivotField axis="axisRow" allDrilled="1" subtotalTop="0" showAll="0" measureFilter="1" defaultSubtotal="0" defaultAttributeDrillState="1">
      <items count="10">
        <item x="3"/>
        <item x="5"/>
        <item x="2"/>
        <item x="0"/>
        <item x="6"/>
        <item x="7"/>
        <item x="1"/>
        <item x="4"/>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numFmtId="166"/>
  </dataFields>
  <formats count="1">
    <format dxfId="15">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industry"/>
    <pivotHierarchy dragToData="1"/>
    <pivotHierarchy dragToData="1"/>
    <pivotHierarchy dragToData="1" caption="funds_raised_millions"/>
    <pivotHierarchy dragToData="1"/>
  </pivotHierarchies>
  <pivotTableStyleInfo name="PivotStyleLight16" showRowHeaders="1" showColHeaders="1" showRowStripes="0" showColStripes="0" showLastColumn="1"/>
  <filters count="1">
    <filter fld="0" type="count" id="2" iMeasureHier="1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Laid off employe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068B32-A4A3-4C67-8A7E-C0F0E6BF9D6E}" sourceName="[Laid off employees].[Year]">
  <pivotTables>
    <pivotTable tabId="2" name="PivotTable1"/>
    <pivotTable tabId="2" name="PivotTable13"/>
    <pivotTable tabId="2" name="PivotTable14"/>
    <pivotTable tabId="2" name="PivotTable15"/>
    <pivotTable tabId="2" name="PivotTable16"/>
    <pivotTable tabId="2" name="PivotTable2"/>
    <pivotTable tabId="2" name="PivotTable3"/>
    <pivotTable tabId="2" name="PivotTable5"/>
    <pivotTable tabId="2" name="PivotTable6"/>
    <pivotTable tabId="2" name="PivotTable7"/>
    <pivotTable tabId="2" name="PivotTable8"/>
    <pivotTable tabId="2" name="PivotTable9"/>
  </pivotTables>
  <data>
    <olap pivotCacheId="1283150408">
      <levels count="2">
        <level uniqueName="[Laid off employees].[Year].[(All)]" sourceCaption="(All)" count="0"/>
        <level uniqueName="[Laid off employees].[Year].[Year]" sourceCaption="Year" count="4">
          <ranges>
            <range startItem="0">
              <i n="[Laid off employees].[Year].&amp;[2020]" c="2020"/>
              <i n="[Laid off employees].[Year].&amp;[2021]" c="2021"/>
              <i n="[Laid off employees].[Year].&amp;[2022]" c="2022"/>
              <i n="[Laid off employees].[Year].&amp;[2023]" c="2023"/>
            </range>
          </ranges>
        </level>
      </levels>
      <selections count="1">
        <selection n="[Laid off employe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9BD23FD-1FEC-405D-A56A-6120A9CF704F}" cache="Slicer_Year" caption="Year" columnCount="4" showCaption="0" level="1" style="Slicer Style 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6F42-56E7-4C3F-8347-6B5383532A13}">
  <dimension ref="U46"/>
  <sheetViews>
    <sheetView showGridLines="0" showRowColHeaders="0" topLeftCell="A6" zoomScaleNormal="100" workbookViewId="0">
      <selection activeCell="A17" sqref="A17"/>
    </sheetView>
  </sheetViews>
  <sheetFormatPr defaultRowHeight="15" x14ac:dyDescent="0.25"/>
  <cols>
    <col min="1" max="16384" width="9.140625" style="1"/>
  </cols>
  <sheetData>
    <row r="46" spans="21:21" x14ac:dyDescent="0.25">
      <c r="U46" s="1" t="s">
        <v>97</v>
      </c>
    </row>
  </sheetData>
  <sheetProtection sheet="1" objects="1" scenarios="1" select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F5A9-FEF0-4341-9089-2930344D68D6}">
  <dimension ref="U46"/>
  <sheetViews>
    <sheetView showGridLines="0" showRowColHeaders="0" zoomScaleNormal="100" workbookViewId="0">
      <selection activeCell="AB38" sqref="AB38"/>
    </sheetView>
  </sheetViews>
  <sheetFormatPr defaultRowHeight="15" x14ac:dyDescent="0.25"/>
  <cols>
    <col min="1" max="16384" width="9.140625" style="1"/>
  </cols>
  <sheetData>
    <row r="46" spans="21:21" x14ac:dyDescent="0.25">
      <c r="U46" s="1" t="s">
        <v>97</v>
      </c>
    </row>
  </sheetData>
  <sheetProtection sheet="1" objects="1" scenarios="1" selectLockedCells="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Option Button 2">
              <controlPr locked="0" defaultSize="0" autoFill="0" autoLine="0" autoPict="0">
                <anchor moveWithCells="1">
                  <from>
                    <xdr:col>21</xdr:col>
                    <xdr:colOff>342900</xdr:colOff>
                    <xdr:row>7</xdr:row>
                    <xdr:rowOff>133350</xdr:rowOff>
                  </from>
                  <to>
                    <xdr:col>23</xdr:col>
                    <xdr:colOff>323850</xdr:colOff>
                    <xdr:row>9</xdr:row>
                    <xdr:rowOff>57150</xdr:rowOff>
                  </to>
                </anchor>
              </controlPr>
            </control>
          </mc:Choice>
        </mc:AlternateContent>
        <mc:AlternateContent xmlns:mc="http://schemas.openxmlformats.org/markup-compatibility/2006">
          <mc:Choice Requires="x14">
            <control shapeId="1027" r:id="rId4" name="Option Button 3">
              <controlPr locked="0" defaultSize="0" autoFill="0" autoLine="0" autoPict="0">
                <anchor moveWithCells="1">
                  <from>
                    <xdr:col>23</xdr:col>
                    <xdr:colOff>466725</xdr:colOff>
                    <xdr:row>7</xdr:row>
                    <xdr:rowOff>133350</xdr:rowOff>
                  </from>
                  <to>
                    <xdr:col>25</xdr:col>
                    <xdr:colOff>447675</xdr:colOff>
                    <xdr:row>9</xdr:row>
                    <xdr:rowOff>57150</xdr:rowOff>
                  </to>
                </anchor>
              </controlPr>
            </control>
          </mc:Choice>
        </mc:AlternateContent>
        <mc:AlternateContent xmlns:mc="http://schemas.openxmlformats.org/markup-compatibility/2006">
          <mc:Choice Requires="x14">
            <control shapeId="1030" r:id="rId5" name="Option Button 6">
              <controlPr locked="0" defaultSize="0" autoFill="0" autoLine="0" autoPict="0">
                <anchor moveWithCells="1">
                  <from>
                    <xdr:col>9</xdr:col>
                    <xdr:colOff>561975</xdr:colOff>
                    <xdr:row>7</xdr:row>
                    <xdr:rowOff>133350</xdr:rowOff>
                  </from>
                  <to>
                    <xdr:col>11</xdr:col>
                    <xdr:colOff>542925</xdr:colOff>
                    <xdr:row>9</xdr:row>
                    <xdr:rowOff>57150</xdr:rowOff>
                  </to>
                </anchor>
              </controlPr>
            </control>
          </mc:Choice>
        </mc:AlternateContent>
        <mc:AlternateContent xmlns:mc="http://schemas.openxmlformats.org/markup-compatibility/2006">
          <mc:Choice Requires="x14">
            <control shapeId="1031" r:id="rId6" name="Option Button 7">
              <controlPr locked="0" defaultSize="0" autoFill="0" autoLine="0" autoPict="0">
                <anchor moveWithCells="1">
                  <from>
                    <xdr:col>12</xdr:col>
                    <xdr:colOff>76200</xdr:colOff>
                    <xdr:row>7</xdr:row>
                    <xdr:rowOff>133350</xdr:rowOff>
                  </from>
                  <to>
                    <xdr:col>14</xdr:col>
                    <xdr:colOff>57150</xdr:colOff>
                    <xdr:row>9</xdr:row>
                    <xdr:rowOff>57150</xdr:rowOff>
                  </to>
                </anchor>
              </controlPr>
            </control>
          </mc:Choice>
        </mc:AlternateContent>
        <mc:AlternateContent xmlns:mc="http://schemas.openxmlformats.org/markup-compatibility/2006">
          <mc:Choice Requires="x14">
            <control shapeId="1032" r:id="rId7" name="Option Button 8">
              <controlPr locked="0" defaultSize="0" autoFill="0" autoLine="0" autoPict="0">
                <anchor moveWithCells="1">
                  <from>
                    <xdr:col>14</xdr:col>
                    <xdr:colOff>190500</xdr:colOff>
                    <xdr:row>7</xdr:row>
                    <xdr:rowOff>133350</xdr:rowOff>
                  </from>
                  <to>
                    <xdr:col>16</xdr:col>
                    <xdr:colOff>171450</xdr:colOff>
                    <xdr:row>9</xdr:row>
                    <xdr:rowOff>57150</xdr:rowOff>
                  </to>
                </anchor>
              </controlPr>
            </control>
          </mc:Choice>
        </mc:AlternateContent>
        <mc:AlternateContent xmlns:mc="http://schemas.openxmlformats.org/markup-compatibility/2006">
          <mc:Choice Requires="x14">
            <control shapeId="1033" r:id="rId8" name="Option Button 9">
              <controlPr locked="0" defaultSize="0" autoFill="0" autoLine="0" autoPict="0">
                <anchor moveWithCells="1">
                  <from>
                    <xdr:col>16</xdr:col>
                    <xdr:colOff>314325</xdr:colOff>
                    <xdr:row>7</xdr:row>
                    <xdr:rowOff>133350</xdr:rowOff>
                  </from>
                  <to>
                    <xdr:col>18</xdr:col>
                    <xdr:colOff>295275</xdr:colOff>
                    <xdr:row>9</xdr:row>
                    <xdr:rowOff>57150</xdr:rowOff>
                  </to>
                </anchor>
              </controlPr>
            </control>
          </mc:Choice>
        </mc:AlternateContent>
      </controls>
    </mc:Choice>
  </mc:AlternateContent>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C9C0-5B0D-410C-A5A0-4C10CBC9060A}">
  <dimension ref="U46"/>
  <sheetViews>
    <sheetView showGridLines="0" showRowColHeaders="0" zoomScaleNormal="100" workbookViewId="0"/>
  </sheetViews>
  <sheetFormatPr defaultRowHeight="15" x14ac:dyDescent="0.25"/>
  <cols>
    <col min="1" max="16384" width="9.140625" style="1"/>
  </cols>
  <sheetData>
    <row r="46" spans="21:21" x14ac:dyDescent="0.25">
      <c r="U46" s="1" t="s">
        <v>97</v>
      </c>
    </row>
  </sheetData>
  <sheetProtection sheet="1" objects="1" scenarios="1" select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0DBB-8AD0-45B2-8B84-19C875D1F72F}">
  <dimension ref="C2:AR55"/>
  <sheetViews>
    <sheetView tabSelected="1" workbookViewId="0">
      <selection activeCell="G30" sqref="G30:I30"/>
    </sheetView>
  </sheetViews>
  <sheetFormatPr defaultRowHeight="15" x14ac:dyDescent="0.25"/>
  <cols>
    <col min="3" max="3" width="13.42578125" bestFit="1" customWidth="1"/>
    <col min="4" max="4" width="25.5703125" bestFit="1" customWidth="1"/>
    <col min="5" max="5" width="14.5703125" bestFit="1" customWidth="1"/>
    <col min="6" max="6" width="13.42578125" bestFit="1" customWidth="1"/>
    <col min="7" max="7" width="25.5703125" bestFit="1" customWidth="1"/>
    <col min="8" max="8" width="11.28515625" bestFit="1" customWidth="1"/>
    <col min="9" max="9" width="3.140625" style="5" customWidth="1"/>
    <col min="11" max="11" width="7.28515625" bestFit="1" customWidth="1"/>
    <col min="12" max="12" width="20.85546875" bestFit="1" customWidth="1"/>
    <col min="13" max="13" width="21" bestFit="1" customWidth="1"/>
    <col min="14" max="14" width="13.42578125" bestFit="1" customWidth="1"/>
    <col min="15" max="15" width="12.85546875" bestFit="1" customWidth="1"/>
    <col min="18" max="18" width="10" bestFit="1" customWidth="1"/>
    <col min="19" max="19" width="12.85546875" bestFit="1" customWidth="1"/>
    <col min="20" max="20" width="21" bestFit="1" customWidth="1"/>
    <col min="24" max="24" width="3.140625" style="5" customWidth="1"/>
    <col min="27" max="27" width="12.42578125" bestFit="1" customWidth="1"/>
    <col min="28" max="28" width="11.28515625" bestFit="1" customWidth="1"/>
    <col min="29" max="29" width="7.5703125" customWidth="1"/>
    <col min="30" max="30" width="14.28515625" bestFit="1" customWidth="1"/>
    <col min="31" max="31" width="11.28515625" bestFit="1" customWidth="1"/>
    <col min="33" max="33" width="12.7109375" bestFit="1" customWidth="1"/>
    <col min="34" max="34" width="11.28515625" bestFit="1" customWidth="1"/>
    <col min="36" max="36" width="15.140625" bestFit="1" customWidth="1"/>
    <col min="37" max="37" width="11.28515625" bestFit="1" customWidth="1"/>
    <col min="39" max="39" width="9.28515625" customWidth="1"/>
    <col min="40" max="42" width="12.5703125" bestFit="1" customWidth="1"/>
  </cols>
  <sheetData>
    <row r="2" spans="3:43" x14ac:dyDescent="0.25">
      <c r="C2" s="11" t="s">
        <v>5</v>
      </c>
      <c r="D2" s="11"/>
      <c r="E2" s="11"/>
      <c r="F2" s="11"/>
      <c r="G2" s="11"/>
      <c r="M2" s="11" t="s">
        <v>34</v>
      </c>
      <c r="N2" s="11"/>
      <c r="O2" s="11"/>
      <c r="P2" s="11"/>
      <c r="Q2" s="11"/>
      <c r="AC2" s="11" t="s">
        <v>99</v>
      </c>
      <c r="AD2" s="11"/>
      <c r="AE2" s="11"/>
      <c r="AF2" s="11"/>
      <c r="AG2" s="11"/>
      <c r="AH2" s="11"/>
      <c r="AI2" s="11"/>
    </row>
    <row r="4" spans="3:43" x14ac:dyDescent="0.25">
      <c r="C4" t="s">
        <v>0</v>
      </c>
      <c r="D4" t="s">
        <v>1</v>
      </c>
      <c r="E4" t="s">
        <v>2</v>
      </c>
      <c r="F4" t="s">
        <v>3</v>
      </c>
      <c r="G4" t="s">
        <v>4</v>
      </c>
      <c r="K4" s="3" t="s">
        <v>23</v>
      </c>
      <c r="L4" t="s">
        <v>0</v>
      </c>
      <c r="M4" t="s">
        <v>25</v>
      </c>
      <c r="R4" s="3" t="s">
        <v>24</v>
      </c>
      <c r="S4" t="s">
        <v>0</v>
      </c>
      <c r="T4" t="s">
        <v>25</v>
      </c>
      <c r="AA4" s="3" t="s">
        <v>45</v>
      </c>
      <c r="AB4" t="s">
        <v>0</v>
      </c>
      <c r="AD4" s="3" t="s">
        <v>56</v>
      </c>
      <c r="AE4" t="s">
        <v>0</v>
      </c>
      <c r="AG4" s="3" t="s">
        <v>67</v>
      </c>
      <c r="AH4" t="s">
        <v>0</v>
      </c>
      <c r="AJ4" s="3" t="s">
        <v>77</v>
      </c>
      <c r="AK4" t="s">
        <v>0</v>
      </c>
    </row>
    <row r="5" spans="3:43" x14ac:dyDescent="0.25">
      <c r="C5" s="8">
        <v>171733</v>
      </c>
      <c r="D5" s="9">
        <v>440577</v>
      </c>
      <c r="E5" s="2">
        <v>811</v>
      </c>
      <c r="F5" s="2">
        <v>31</v>
      </c>
      <c r="G5" s="2">
        <v>999</v>
      </c>
      <c r="K5" s="4">
        <v>2020</v>
      </c>
      <c r="L5" s="8">
        <v>30144</v>
      </c>
      <c r="M5" s="9">
        <v>67210</v>
      </c>
      <c r="R5" s="4" t="s">
        <v>13</v>
      </c>
      <c r="S5" s="8">
        <v>41553</v>
      </c>
      <c r="T5" s="9">
        <v>77386</v>
      </c>
      <c r="AA5" s="4" t="s">
        <v>35</v>
      </c>
      <c r="AB5">
        <v>18150</v>
      </c>
      <c r="AD5" s="4" t="s">
        <v>46</v>
      </c>
      <c r="AE5">
        <v>19097</v>
      </c>
      <c r="AG5" s="4" t="s">
        <v>57</v>
      </c>
      <c r="AH5">
        <v>4375</v>
      </c>
      <c r="AJ5" s="4" t="s">
        <v>68</v>
      </c>
      <c r="AK5">
        <v>3265</v>
      </c>
    </row>
    <row r="6" spans="3:43" x14ac:dyDescent="0.25">
      <c r="K6" s="4">
        <v>2021</v>
      </c>
      <c r="L6" s="8">
        <v>7493</v>
      </c>
      <c r="M6" s="9">
        <v>33754</v>
      </c>
      <c r="R6" s="4" t="s">
        <v>12</v>
      </c>
      <c r="S6" s="8">
        <v>24082</v>
      </c>
      <c r="T6" s="9">
        <v>44729</v>
      </c>
      <c r="AA6" s="4" t="s">
        <v>38</v>
      </c>
      <c r="AB6">
        <v>4000</v>
      </c>
      <c r="AD6" s="4" t="s">
        <v>47</v>
      </c>
      <c r="AE6">
        <v>8181</v>
      </c>
      <c r="AG6" s="4" t="s">
        <v>58</v>
      </c>
      <c r="AH6">
        <v>7649</v>
      </c>
      <c r="AJ6" s="4" t="s">
        <v>69</v>
      </c>
      <c r="AK6">
        <v>2504</v>
      </c>
    </row>
    <row r="7" spans="3:43" x14ac:dyDescent="0.25">
      <c r="K7" s="4">
        <v>2022</v>
      </c>
      <c r="L7" s="8">
        <v>71368</v>
      </c>
      <c r="M7" s="9">
        <v>212145</v>
      </c>
      <c r="R7" s="4" t="s">
        <v>16</v>
      </c>
      <c r="S7" s="8">
        <v>10348</v>
      </c>
      <c r="T7" s="9">
        <v>36191</v>
      </c>
      <c r="AA7" s="4" t="s">
        <v>41</v>
      </c>
      <c r="AB7">
        <v>6650</v>
      </c>
      <c r="AD7" s="4" t="s">
        <v>48</v>
      </c>
      <c r="AE7">
        <v>9118</v>
      </c>
      <c r="AG7" s="4" t="s">
        <v>59</v>
      </c>
      <c r="AH7">
        <v>7441</v>
      </c>
      <c r="AJ7" s="4" t="s">
        <v>70</v>
      </c>
      <c r="AK7">
        <v>3425</v>
      </c>
    </row>
    <row r="8" spans="3:43" x14ac:dyDescent="0.25">
      <c r="K8" s="4">
        <v>2023</v>
      </c>
      <c r="L8" s="8">
        <v>62728</v>
      </c>
      <c r="M8" s="9">
        <v>127468</v>
      </c>
      <c r="R8" s="4" t="s">
        <v>9</v>
      </c>
      <c r="S8" s="8">
        <v>10234</v>
      </c>
      <c r="T8" s="9">
        <v>20607</v>
      </c>
      <c r="AA8" s="4" t="s">
        <v>42</v>
      </c>
      <c r="AB8">
        <v>8500</v>
      </c>
      <c r="AD8" s="4" t="s">
        <v>49</v>
      </c>
      <c r="AE8">
        <v>13288</v>
      </c>
      <c r="AG8" s="4" t="s">
        <v>60</v>
      </c>
      <c r="AH8">
        <v>5194</v>
      </c>
      <c r="AJ8" s="4" t="s">
        <v>71</v>
      </c>
      <c r="AK8">
        <v>3055</v>
      </c>
      <c r="AO8" t="s">
        <v>33</v>
      </c>
      <c r="AP8" t="str">
        <f>IF($M$20=3, "Top 10 Company with the highest Laid Offs", IF($M$20=4, "Top 10 Industry with the highest Laid Offs", IF($M$20=5, "Top 10 Location with the highest Laid Offs",  IF($M$20=6, "Top 10 Country with the highest Laid Offs","Top 10 Company with the highest Laid Offs" ))))</f>
        <v>Top 10 Company with the highest Laid Offs</v>
      </c>
    </row>
    <row r="9" spans="3:43" x14ac:dyDescent="0.25">
      <c r="C9" s="3" t="s">
        <v>6</v>
      </c>
      <c r="D9" t="s">
        <v>98</v>
      </c>
      <c r="F9" s="3" t="s">
        <v>6</v>
      </c>
      <c r="G9" t="s">
        <v>98</v>
      </c>
      <c r="R9" s="4" t="s">
        <v>17</v>
      </c>
      <c r="S9" s="8">
        <v>13929</v>
      </c>
      <c r="T9" s="9">
        <v>29493</v>
      </c>
      <c r="AA9" s="4" t="s">
        <v>43</v>
      </c>
      <c r="AB9">
        <v>12000</v>
      </c>
      <c r="AD9" s="4" t="s">
        <v>50</v>
      </c>
      <c r="AE9">
        <v>12094</v>
      </c>
      <c r="AG9" s="4" t="s">
        <v>61</v>
      </c>
      <c r="AH9">
        <v>15652</v>
      </c>
      <c r="AJ9" s="4" t="s">
        <v>72</v>
      </c>
      <c r="AK9">
        <v>12012</v>
      </c>
    </row>
    <row r="10" spans="3:43" x14ac:dyDescent="0.25">
      <c r="C10" s="4" t="s">
        <v>8</v>
      </c>
      <c r="D10">
        <v>587</v>
      </c>
      <c r="F10" s="4" t="s">
        <v>8</v>
      </c>
      <c r="G10">
        <v>750</v>
      </c>
      <c r="R10" s="4" t="s">
        <v>15</v>
      </c>
      <c r="S10" s="8">
        <v>11715</v>
      </c>
      <c r="T10" s="9">
        <v>57366</v>
      </c>
      <c r="AA10" s="4" t="s">
        <v>44</v>
      </c>
      <c r="AB10">
        <v>3900</v>
      </c>
      <c r="AD10" s="4" t="s">
        <v>51</v>
      </c>
      <c r="AE10">
        <v>7809</v>
      </c>
      <c r="AG10" s="4" t="s">
        <v>62</v>
      </c>
      <c r="AH10">
        <v>5067</v>
      </c>
      <c r="AJ10" s="4" t="s">
        <v>73</v>
      </c>
      <c r="AK10">
        <v>4375</v>
      </c>
    </row>
    <row r="11" spans="3:43" x14ac:dyDescent="0.25">
      <c r="C11" s="4" t="s">
        <v>7</v>
      </c>
      <c r="D11">
        <v>278</v>
      </c>
      <c r="F11" s="4" t="s">
        <v>7</v>
      </c>
      <c r="G11">
        <v>64</v>
      </c>
      <c r="R11" s="4" t="s">
        <v>14</v>
      </c>
      <c r="S11" s="8">
        <v>12344</v>
      </c>
      <c r="T11" s="9">
        <v>26766</v>
      </c>
      <c r="AA11" s="4" t="s">
        <v>36</v>
      </c>
      <c r="AB11">
        <v>3900</v>
      </c>
      <c r="AD11" s="4" t="s">
        <v>52</v>
      </c>
      <c r="AE11">
        <v>12427</v>
      </c>
      <c r="AG11" s="4" t="s">
        <v>63</v>
      </c>
      <c r="AH11">
        <v>19610</v>
      </c>
      <c r="AJ11" s="4" t="s">
        <v>65</v>
      </c>
      <c r="AK11">
        <v>5550</v>
      </c>
      <c r="AO11" t="s">
        <v>28</v>
      </c>
      <c r="AP11">
        <f>IF($M$20=3,MAX($AB$5:$AB$14),IF($M$20=4,MAX($AE$5:$AE$14), IF($M$20=5, MAX($AH$5:$AH$14), IF($M$20=6, MAX($AK$5:$AK$14),MAX($AB$5:$AB$14)))))</f>
        <v>18150</v>
      </c>
    </row>
    <row r="12" spans="3:43" x14ac:dyDescent="0.25">
      <c r="R12" s="4" t="s">
        <v>10</v>
      </c>
      <c r="S12" s="8">
        <v>6225</v>
      </c>
      <c r="T12" s="9">
        <v>27118</v>
      </c>
      <c r="AA12" s="4" t="s">
        <v>37</v>
      </c>
      <c r="AB12">
        <v>4601</v>
      </c>
      <c r="AD12" s="4" t="s">
        <v>53</v>
      </c>
      <c r="AE12">
        <v>28683</v>
      </c>
      <c r="AG12" s="4" t="s">
        <v>64</v>
      </c>
      <c r="AH12">
        <v>46115</v>
      </c>
      <c r="AJ12" s="4" t="s">
        <v>74</v>
      </c>
      <c r="AK12">
        <v>8852</v>
      </c>
      <c r="AO12" t="s">
        <v>29</v>
      </c>
      <c r="AP12">
        <f>IF($M$20=3,MIN($AB$5:$AB$14),IF($M$20=4,MIN($AE$5:$AE$14), IF($M$20=5, MIN($AH$5:$AH$14), IF($M$20=6, MIN($AK$5:$AK$14),MIN($AB$5:$AB$14)))))</f>
        <v>3900</v>
      </c>
    </row>
    <row r="13" spans="3:43" x14ac:dyDescent="0.25">
      <c r="R13" s="4" t="s">
        <v>20</v>
      </c>
      <c r="S13" s="8">
        <v>2689</v>
      </c>
      <c r="T13" s="9">
        <v>15693</v>
      </c>
      <c r="AA13" s="4" t="s">
        <v>39</v>
      </c>
      <c r="AB13">
        <v>4000</v>
      </c>
      <c r="AD13" s="4" t="s">
        <v>54</v>
      </c>
      <c r="AE13">
        <v>12545</v>
      </c>
      <c r="AG13" s="4" t="s">
        <v>65</v>
      </c>
      <c r="AH13">
        <v>5550</v>
      </c>
      <c r="AJ13" s="4" t="s">
        <v>75</v>
      </c>
      <c r="AK13">
        <v>3655</v>
      </c>
    </row>
    <row r="14" spans="3:43" ht="11.25" customHeight="1" x14ac:dyDescent="0.25">
      <c r="R14" s="4" t="s">
        <v>19</v>
      </c>
      <c r="S14" s="8">
        <v>8945</v>
      </c>
      <c r="T14" s="9">
        <v>28026</v>
      </c>
      <c r="AA14" s="4" t="s">
        <v>40</v>
      </c>
      <c r="AB14">
        <v>4100</v>
      </c>
      <c r="AD14" s="4" t="s">
        <v>55</v>
      </c>
      <c r="AE14">
        <v>9144</v>
      </c>
      <c r="AG14" s="4" t="s">
        <v>66</v>
      </c>
      <c r="AH14">
        <v>8782</v>
      </c>
      <c r="AJ14" s="4" t="s">
        <v>76</v>
      </c>
      <c r="AK14">
        <v>116825</v>
      </c>
    </row>
    <row r="15" spans="3:43" ht="11.25" customHeight="1" x14ac:dyDescent="0.25">
      <c r="L15" t="s">
        <v>28</v>
      </c>
      <c r="M15" cm="1">
        <f t="array" ref="M15">IF($M$20=1, MAX($L$5:$L$8), IF($M$20=2,MAX($M$5:$M$8), $L$5:$L$8))</f>
        <v>212145</v>
      </c>
      <c r="R15" s="4" t="s">
        <v>18</v>
      </c>
      <c r="S15" s="8">
        <v>23999</v>
      </c>
      <c r="T15" s="9">
        <v>41238</v>
      </c>
    </row>
    <row r="16" spans="3:43" x14ac:dyDescent="0.25">
      <c r="F16" t="s">
        <v>33</v>
      </c>
      <c r="G16" t="str">
        <f xml:space="preserve"> G10 &amp; " Companies raised funds "</f>
        <v xml:space="preserve">750 Companies raised funds </v>
      </c>
      <c r="L16" t="s">
        <v>29</v>
      </c>
      <c r="M16" cm="1">
        <f t="array" ref="M16">IF($M$20=1, MIN($L$5:$L$8), IF($M$20=2,MIN($M$5:$M$8), $L$5:$L$8))</f>
        <v>33754</v>
      </c>
      <c r="R16" s="4" t="s">
        <v>11</v>
      </c>
      <c r="S16" s="8">
        <v>5670</v>
      </c>
      <c r="T16" s="9">
        <v>35964</v>
      </c>
      <c r="AN16" s="10" t="s">
        <v>22</v>
      </c>
      <c r="AO16" s="10"/>
      <c r="AP16" s="10"/>
      <c r="AQ16" s="10"/>
    </row>
    <row r="17" spans="4:44" x14ac:dyDescent="0.25">
      <c r="D17" t="str">
        <f xml:space="preserve"> D10 &amp; " Companies laid off employees"</f>
        <v>587 Companies laid off employees</v>
      </c>
      <c r="G17" t="str">
        <f xml:space="preserve"> IF(G11 = "", " 0 Companies is wriiten NULL (No Input)",G11 &amp; " Companies is wriiten NULL (No Input)")</f>
        <v>64 Companies is wriiten NULL (No Input)</v>
      </c>
      <c r="AO17" t="str">
        <f>IF($M$20=3, AA4, IF($M$20=4,AD4, IF($M$20=5,AG4, IF($M$20=6,AJ4,AA4))))</f>
        <v>Company</v>
      </c>
      <c r="AP17" t="str">
        <f t="shared" ref="AP17:AP27" si="0">IF($M$20=3, AB4, IF($M$20=4,AE4, IF($M$20=5,AH4, IF($M$20=6,AK4,AB4))))</f>
        <v>Total Laid Off</v>
      </c>
      <c r="AQ17" t="s">
        <v>30</v>
      </c>
      <c r="AR17" t="s">
        <v>31</v>
      </c>
    </row>
    <row r="18" spans="4:44" x14ac:dyDescent="0.25">
      <c r="D18" t="str">
        <f xml:space="preserve"> D11 &amp; " Companies is wriiten NULL (No Input)"</f>
        <v>278 Companies is wriiten NULL (No Input)</v>
      </c>
      <c r="S18" cm="1">
        <f t="array" ref="S18">IF($M$20=1, MAX($S$5:$S$16), IF($M$20=2,MAX($T$5:$T$16), $S$5:$S$16))</f>
        <v>77386</v>
      </c>
      <c r="AO18" t="str">
        <f t="shared" ref="AO18:AO27" si="1">IF($M$20=3, AA5, IF($M$20=4,AD5, IF($M$20=5,AG5, IF($M$20=6,AJ5,AA5))))</f>
        <v>Amazon</v>
      </c>
      <c r="AP18" s="8">
        <f t="shared" si="0"/>
        <v>18150</v>
      </c>
      <c r="AQ18" s="8">
        <f>IF(AP18=$AP$11,AP18,"")</f>
        <v>18150</v>
      </c>
      <c r="AR18" s="8" t="str">
        <f>IF(AP18=$AP$12, AP18, "")</f>
        <v/>
      </c>
    </row>
    <row r="19" spans="4:44" x14ac:dyDescent="0.25">
      <c r="S19" cm="1">
        <f t="array" ref="S19">IF($M$20=1, MIN($S$5:$S$16), IF($M$20=2,MIN($T$5:$T$16), $S$5:$S$16))</f>
        <v>15693</v>
      </c>
      <c r="AO19" t="str">
        <f t="shared" si="1"/>
        <v>Byju's</v>
      </c>
      <c r="AP19" s="8">
        <f t="shared" si="0"/>
        <v>4000</v>
      </c>
      <c r="AQ19" s="8" t="str">
        <f t="shared" ref="AQ19:AQ27" si="2">IF(AP19=$AP$11,AP19,"")</f>
        <v/>
      </c>
      <c r="AR19" s="8" t="str">
        <f t="shared" ref="AR19:AR27" si="3">IF(AP19=$AP$12, AP19, "")</f>
        <v/>
      </c>
    </row>
    <row r="20" spans="4:44" ht="18.75" x14ac:dyDescent="0.3">
      <c r="K20" t="s">
        <v>21</v>
      </c>
      <c r="M20" s="7">
        <v>2</v>
      </c>
      <c r="AO20" t="str">
        <f t="shared" si="1"/>
        <v>Dell</v>
      </c>
      <c r="AP20" s="8">
        <f t="shared" si="0"/>
        <v>6650</v>
      </c>
      <c r="AQ20" s="8" t="str">
        <f t="shared" si="2"/>
        <v/>
      </c>
      <c r="AR20" s="8" t="str">
        <f t="shared" si="3"/>
        <v/>
      </c>
    </row>
    <row r="21" spans="4:44" x14ac:dyDescent="0.25">
      <c r="AO21" t="str">
        <f t="shared" si="1"/>
        <v>Ericsson</v>
      </c>
      <c r="AP21" s="8">
        <f t="shared" si="0"/>
        <v>8500</v>
      </c>
      <c r="AQ21" s="8" t="str">
        <f t="shared" si="2"/>
        <v/>
      </c>
      <c r="AR21" s="8" t="str">
        <f t="shared" si="3"/>
        <v/>
      </c>
    </row>
    <row r="22" spans="4:44" x14ac:dyDescent="0.25">
      <c r="AO22" t="str">
        <f t="shared" si="1"/>
        <v>Google</v>
      </c>
      <c r="AP22" s="8">
        <f t="shared" si="0"/>
        <v>12000</v>
      </c>
      <c r="AQ22" s="8" t="str">
        <f t="shared" si="2"/>
        <v/>
      </c>
      <c r="AR22" s="8" t="str">
        <f t="shared" si="3"/>
        <v/>
      </c>
    </row>
    <row r="23" spans="4:44" x14ac:dyDescent="0.25">
      <c r="K23" s="11" t="s">
        <v>26</v>
      </c>
      <c r="L23" s="11"/>
      <c r="M23" s="11"/>
      <c r="N23" s="11"/>
      <c r="R23" s="11" t="s">
        <v>27</v>
      </c>
      <c r="S23" s="11"/>
      <c r="T23" s="11"/>
      <c r="U23" s="11"/>
      <c r="AO23" t="str">
        <f t="shared" si="1"/>
        <v>IBM</v>
      </c>
      <c r="AP23" s="8">
        <f t="shared" si="0"/>
        <v>3900</v>
      </c>
      <c r="AQ23" s="8" t="str">
        <f t="shared" si="2"/>
        <v/>
      </c>
      <c r="AR23" s="8">
        <f t="shared" si="3"/>
        <v>3900</v>
      </c>
    </row>
    <row r="24" spans="4:44" x14ac:dyDescent="0.25">
      <c r="AO24" t="str">
        <f t="shared" si="1"/>
        <v>Better.com</v>
      </c>
      <c r="AP24" s="8">
        <f t="shared" si="0"/>
        <v>3900</v>
      </c>
      <c r="AQ24" s="8" t="str">
        <f t="shared" si="2"/>
        <v/>
      </c>
      <c r="AR24" s="8">
        <f t="shared" si="3"/>
        <v>3900</v>
      </c>
    </row>
    <row r="25" spans="4:44" x14ac:dyDescent="0.25">
      <c r="K25" t="str">
        <f>K4</f>
        <v>Year</v>
      </c>
      <c r="L25" t="str">
        <f>IF($M$20=1,L4,IF($M$20=2,M4, L4))</f>
        <v>funds_raised_millions</v>
      </c>
      <c r="M25" t="s">
        <v>32</v>
      </c>
      <c r="N25" t="s">
        <v>30</v>
      </c>
      <c r="O25" t="s">
        <v>31</v>
      </c>
      <c r="R25" t="str">
        <f>IF(R4="", "", R4)</f>
        <v>Months</v>
      </c>
      <c r="S25" t="str">
        <f>IF(OR(S4 = "", T4 = ""), "", IF($M$20=1,S4,IF($M$20=2,T4, S4)))</f>
        <v>funds_raised_millions</v>
      </c>
      <c r="T25" t="s">
        <v>32</v>
      </c>
      <c r="U25" t="s">
        <v>30</v>
      </c>
      <c r="V25" t="s">
        <v>31</v>
      </c>
      <c r="AO25" t="str">
        <f t="shared" si="1"/>
        <v>Booking.com</v>
      </c>
      <c r="AP25" s="8">
        <f t="shared" si="0"/>
        <v>4601</v>
      </c>
      <c r="AQ25" s="8" t="str">
        <f t="shared" si="2"/>
        <v/>
      </c>
      <c r="AR25" s="8" t="str">
        <f t="shared" si="3"/>
        <v/>
      </c>
    </row>
    <row r="26" spans="4:44" x14ac:dyDescent="0.25">
      <c r="K26">
        <f t="shared" ref="K26:K29" si="4">K5</f>
        <v>2020</v>
      </c>
      <c r="L26" s="8">
        <f t="shared" ref="L26:L29" si="5">IF($M$20=1,L5,IF($M$20=2,M5, L5))</f>
        <v>67210</v>
      </c>
      <c r="M26" s="6">
        <f>L26</f>
        <v>67210</v>
      </c>
      <c r="N26" s="6" t="str">
        <f>IF($M$15=L26, $M$15, "")</f>
        <v/>
      </c>
      <c r="O26" s="6" t="str">
        <f>IF($M$16=L26, $M$16, "")</f>
        <v/>
      </c>
      <c r="R26" t="str">
        <f t="shared" ref="R26:R37" si="6">IF(R5="", "", R5)</f>
        <v>Jan</v>
      </c>
      <c r="S26">
        <f t="shared" ref="S26:S37" si="7">IF(OR(S5 = "", T5 = ""), "", IF($M$20=1,S5,IF($M$20=2,T5, S5)))</f>
        <v>77386</v>
      </c>
      <c r="T26" s="6">
        <f>S26</f>
        <v>77386</v>
      </c>
      <c r="U26" s="6">
        <f t="shared" ref="U26:U37" si="8">IF($S$18=S26, $S$18, "")</f>
        <v>77386</v>
      </c>
      <c r="V26" s="6" t="str">
        <f t="shared" ref="V26:V37" si="9">IF($S$19=S26, $S$19, "")</f>
        <v/>
      </c>
      <c r="AO26" t="str">
        <f t="shared" si="1"/>
        <v>Carvana</v>
      </c>
      <c r="AP26" s="8">
        <f t="shared" si="0"/>
        <v>4000</v>
      </c>
      <c r="AQ26" s="8" t="str">
        <f t="shared" si="2"/>
        <v/>
      </c>
      <c r="AR26" s="8" t="str">
        <f t="shared" si="3"/>
        <v/>
      </c>
    </row>
    <row r="27" spans="4:44" x14ac:dyDescent="0.25">
      <c r="K27">
        <f t="shared" si="4"/>
        <v>2021</v>
      </c>
      <c r="L27" s="8">
        <f t="shared" si="5"/>
        <v>33754</v>
      </c>
      <c r="M27" s="6">
        <f t="shared" ref="M27:M29" si="10">L27</f>
        <v>33754</v>
      </c>
      <c r="N27" s="6" t="str">
        <f>IF($M$15=L27, $M$15, "")</f>
        <v/>
      </c>
      <c r="O27" s="6">
        <f>IF($M$16=L27, $M$16, "")</f>
        <v>33754</v>
      </c>
      <c r="R27" t="str">
        <f t="shared" si="6"/>
        <v>Feb</v>
      </c>
      <c r="S27">
        <f t="shared" si="7"/>
        <v>44729</v>
      </c>
      <c r="T27" s="6">
        <f t="shared" ref="T27:T37" si="11">S27</f>
        <v>44729</v>
      </c>
      <c r="U27" s="6" t="str">
        <f t="shared" si="8"/>
        <v/>
      </c>
      <c r="V27" s="6" t="str">
        <f t="shared" si="9"/>
        <v/>
      </c>
      <c r="AO27" t="str">
        <f t="shared" si="1"/>
        <v>Cisco</v>
      </c>
      <c r="AP27" s="8">
        <f t="shared" si="0"/>
        <v>4100</v>
      </c>
      <c r="AQ27" s="8" t="str">
        <f t="shared" si="2"/>
        <v/>
      </c>
      <c r="AR27" s="8" t="str">
        <f t="shared" si="3"/>
        <v/>
      </c>
    </row>
    <row r="28" spans="4:44" x14ac:dyDescent="0.25">
      <c r="K28">
        <f t="shared" si="4"/>
        <v>2022</v>
      </c>
      <c r="L28" s="8">
        <f t="shared" si="5"/>
        <v>212145</v>
      </c>
      <c r="M28" s="6">
        <f t="shared" si="10"/>
        <v>212145</v>
      </c>
      <c r="N28" s="6">
        <f>IF($M$15=L28, $M$15, "")</f>
        <v>212145</v>
      </c>
      <c r="O28" s="6" t="str">
        <f>IF($M$16=L28, $M$16, "")</f>
        <v/>
      </c>
      <c r="R28" t="str">
        <f t="shared" si="6"/>
        <v>Mar</v>
      </c>
      <c r="S28">
        <f t="shared" si="7"/>
        <v>36191</v>
      </c>
      <c r="T28" s="6">
        <f t="shared" si="11"/>
        <v>36191</v>
      </c>
      <c r="U28" s="6" t="str">
        <f t="shared" si="8"/>
        <v/>
      </c>
      <c r="V28" s="6" t="str">
        <f t="shared" si="9"/>
        <v/>
      </c>
    </row>
    <row r="29" spans="4:44" x14ac:dyDescent="0.25">
      <c r="K29">
        <f t="shared" si="4"/>
        <v>2023</v>
      </c>
      <c r="L29" s="8">
        <f t="shared" si="5"/>
        <v>127468</v>
      </c>
      <c r="M29" s="6">
        <f t="shared" si="10"/>
        <v>127468</v>
      </c>
      <c r="N29" s="6" t="str">
        <f>IF($M$15=L29, $M$15, "")</f>
        <v/>
      </c>
      <c r="O29" s="6" t="str">
        <f>IF($M$16=L29, $M$16, "")</f>
        <v/>
      </c>
      <c r="R29" t="str">
        <f t="shared" si="6"/>
        <v>Apr</v>
      </c>
      <c r="S29">
        <f t="shared" si="7"/>
        <v>20607</v>
      </c>
      <c r="T29" s="6">
        <f t="shared" si="11"/>
        <v>20607</v>
      </c>
      <c r="U29" s="6" t="str">
        <f t="shared" si="8"/>
        <v/>
      </c>
      <c r="V29" s="6" t="str">
        <f t="shared" si="9"/>
        <v/>
      </c>
    </row>
    <row r="30" spans="4:44" x14ac:dyDescent="0.25">
      <c r="R30" t="str">
        <f t="shared" si="6"/>
        <v>May</v>
      </c>
      <c r="S30">
        <f t="shared" si="7"/>
        <v>29493</v>
      </c>
      <c r="T30" s="6">
        <f t="shared" si="11"/>
        <v>29493</v>
      </c>
      <c r="U30" s="6" t="str">
        <f t="shared" si="8"/>
        <v/>
      </c>
      <c r="V30" s="6" t="str">
        <f t="shared" si="9"/>
        <v/>
      </c>
    </row>
    <row r="31" spans="4:44" x14ac:dyDescent="0.25">
      <c r="R31" t="str">
        <f t="shared" si="6"/>
        <v>Jun</v>
      </c>
      <c r="S31">
        <f t="shared" si="7"/>
        <v>57366</v>
      </c>
      <c r="T31" s="6">
        <f t="shared" si="11"/>
        <v>57366</v>
      </c>
      <c r="U31" s="6" t="str">
        <f t="shared" si="8"/>
        <v/>
      </c>
      <c r="V31" s="6" t="str">
        <f t="shared" si="9"/>
        <v/>
      </c>
      <c r="AC31" s="11" t="s">
        <v>100</v>
      </c>
      <c r="AD31" s="11"/>
      <c r="AE31" s="11"/>
      <c r="AF31" s="11"/>
      <c r="AG31" s="11"/>
      <c r="AH31" s="11"/>
      <c r="AI31" s="11"/>
    </row>
    <row r="32" spans="4:44" x14ac:dyDescent="0.25">
      <c r="R32" t="str">
        <f t="shared" si="6"/>
        <v>Jul</v>
      </c>
      <c r="S32">
        <f t="shared" si="7"/>
        <v>26766</v>
      </c>
      <c r="T32" s="6">
        <f t="shared" si="11"/>
        <v>26766</v>
      </c>
      <c r="U32" s="6" t="str">
        <f t="shared" si="8"/>
        <v/>
      </c>
      <c r="V32" s="6" t="str">
        <f t="shared" si="9"/>
        <v/>
      </c>
    </row>
    <row r="33" spans="12:44" x14ac:dyDescent="0.25">
      <c r="R33" t="str">
        <f t="shared" si="6"/>
        <v>Aug</v>
      </c>
      <c r="S33">
        <f t="shared" si="7"/>
        <v>27118</v>
      </c>
      <c r="T33" s="6">
        <f t="shared" si="11"/>
        <v>27118</v>
      </c>
      <c r="U33" s="6" t="str">
        <f t="shared" si="8"/>
        <v/>
      </c>
      <c r="V33" s="6" t="str">
        <f t="shared" si="9"/>
        <v/>
      </c>
    </row>
    <row r="34" spans="12:44" x14ac:dyDescent="0.25">
      <c r="L34" t="s">
        <v>33</v>
      </c>
      <c r="M34" t="str">
        <f>IF($M$20=1, "Laid Off Trendline", IF($M$20=2, "Fund Raised Trendline", "Laid Off Trendline"))</f>
        <v>Fund Raised Trendline</v>
      </c>
      <c r="R34" t="str">
        <f t="shared" si="6"/>
        <v>Sep</v>
      </c>
      <c r="S34">
        <f t="shared" si="7"/>
        <v>15693</v>
      </c>
      <c r="T34" s="6">
        <f t="shared" si="11"/>
        <v>15693</v>
      </c>
      <c r="U34" s="6" t="str">
        <f t="shared" si="8"/>
        <v/>
      </c>
      <c r="V34" s="6">
        <f t="shared" si="9"/>
        <v>15693</v>
      </c>
      <c r="AA34" s="3" t="s">
        <v>45</v>
      </c>
      <c r="AB34" t="s">
        <v>1</v>
      </c>
      <c r="AD34" s="3" t="s">
        <v>56</v>
      </c>
      <c r="AE34" t="s">
        <v>1</v>
      </c>
      <c r="AG34" s="3" t="s">
        <v>67</v>
      </c>
      <c r="AH34" t="s">
        <v>1</v>
      </c>
      <c r="AJ34" s="3" t="s">
        <v>77</v>
      </c>
      <c r="AK34" t="s">
        <v>1</v>
      </c>
    </row>
    <row r="35" spans="12:44" x14ac:dyDescent="0.25">
      <c r="R35" t="str">
        <f t="shared" si="6"/>
        <v>Oct</v>
      </c>
      <c r="S35">
        <f t="shared" si="7"/>
        <v>28026</v>
      </c>
      <c r="T35" s="6">
        <f t="shared" si="11"/>
        <v>28026</v>
      </c>
      <c r="U35" s="6" t="str">
        <f t="shared" si="8"/>
        <v/>
      </c>
      <c r="V35" s="6" t="str">
        <f t="shared" si="9"/>
        <v/>
      </c>
      <c r="AA35" s="4" t="s">
        <v>80</v>
      </c>
      <c r="AB35" s="9">
        <v>35600</v>
      </c>
      <c r="AD35" s="4" t="s">
        <v>46</v>
      </c>
      <c r="AE35" s="9">
        <v>42840</v>
      </c>
      <c r="AG35" s="4" t="s">
        <v>59</v>
      </c>
      <c r="AH35" s="9">
        <v>28355</v>
      </c>
      <c r="AJ35" s="4" t="s">
        <v>68</v>
      </c>
      <c r="AK35" s="9">
        <v>7836</v>
      </c>
    </row>
    <row r="36" spans="12:44" x14ac:dyDescent="0.25">
      <c r="R36" t="str">
        <f t="shared" si="6"/>
        <v>Nov</v>
      </c>
      <c r="S36">
        <f t="shared" si="7"/>
        <v>41238</v>
      </c>
      <c r="T36" s="6">
        <f t="shared" si="11"/>
        <v>41238</v>
      </c>
      <c r="U36" s="6" t="str">
        <f t="shared" si="8"/>
        <v/>
      </c>
      <c r="V36" s="6" t="str">
        <f t="shared" si="9"/>
        <v/>
      </c>
      <c r="AA36" s="4" t="s">
        <v>82</v>
      </c>
      <c r="AB36" s="9">
        <v>26500</v>
      </c>
      <c r="AD36" s="4" t="s">
        <v>47</v>
      </c>
      <c r="AE36" s="9">
        <v>16258</v>
      </c>
      <c r="AG36" s="4" t="s">
        <v>89</v>
      </c>
      <c r="AH36" s="9">
        <v>35746</v>
      </c>
      <c r="AJ36" s="4" t="s">
        <v>69</v>
      </c>
      <c r="AK36" s="9">
        <v>6666</v>
      </c>
    </row>
    <row r="37" spans="12:44" x14ac:dyDescent="0.25">
      <c r="R37" t="str">
        <f t="shared" si="6"/>
        <v>Dec</v>
      </c>
      <c r="S37">
        <f t="shared" si="7"/>
        <v>35964</v>
      </c>
      <c r="T37" s="6">
        <f t="shared" si="11"/>
        <v>35964</v>
      </c>
      <c r="U37" s="6" t="str">
        <f t="shared" si="8"/>
        <v/>
      </c>
      <c r="V37" s="6" t="str">
        <f t="shared" si="9"/>
        <v/>
      </c>
      <c r="AA37" s="4" t="s">
        <v>38</v>
      </c>
      <c r="AB37" s="9">
        <v>11000</v>
      </c>
      <c r="AD37" s="4" t="s">
        <v>87</v>
      </c>
      <c r="AE37" s="9">
        <v>18183</v>
      </c>
      <c r="AG37" s="4" t="s">
        <v>90</v>
      </c>
      <c r="AH37" s="9">
        <v>16346</v>
      </c>
      <c r="AJ37" s="4" t="s">
        <v>70</v>
      </c>
      <c r="AK37" s="9">
        <v>32009</v>
      </c>
    </row>
    <row r="38" spans="12:44" x14ac:dyDescent="0.25">
      <c r="AA38" s="4" t="s">
        <v>78</v>
      </c>
      <c r="AB38" s="9">
        <v>11800</v>
      </c>
      <c r="AD38" s="4" t="s">
        <v>48</v>
      </c>
      <c r="AE38" s="9">
        <v>41639</v>
      </c>
      <c r="AG38" s="4" t="s">
        <v>91</v>
      </c>
      <c r="AH38" s="9">
        <v>11605</v>
      </c>
      <c r="AJ38" s="4" t="s">
        <v>71</v>
      </c>
      <c r="AK38" s="9">
        <v>37063</v>
      </c>
    </row>
    <row r="39" spans="12:44" x14ac:dyDescent="0.25">
      <c r="AA39" s="4" t="s">
        <v>83</v>
      </c>
      <c r="AB39" s="9">
        <v>12900</v>
      </c>
      <c r="AD39" s="4" t="s">
        <v>49</v>
      </c>
      <c r="AE39" s="9">
        <v>76794</v>
      </c>
      <c r="AG39" s="4" t="s">
        <v>92</v>
      </c>
      <c r="AH39" s="9">
        <v>22460</v>
      </c>
      <c r="AJ39" s="4" t="s">
        <v>72</v>
      </c>
      <c r="AK39" s="9">
        <v>40889</v>
      </c>
      <c r="AO39" t="s">
        <v>33</v>
      </c>
      <c r="AP39" t="str">
        <f>IF($M$20=3, "Top 10 Company with the highest Funds Raised", IF($M$20=4, "Top 10 Industry with the highest Funds Raised", IF($M$20=5, "Top 10 Location with the highest Funds Raised",  IF($M$20=6, "Top 10 Country with the highest Funds Raised","Top 10 Company with the highest Funds Raised" ))))</f>
        <v>Top 10 Company with the highest Funds Raised</v>
      </c>
    </row>
    <row r="40" spans="12:44" x14ac:dyDescent="0.25">
      <c r="AA40" s="4" t="s">
        <v>84</v>
      </c>
      <c r="AB40" s="9">
        <v>5400</v>
      </c>
      <c r="AD40" s="4" t="s">
        <v>51</v>
      </c>
      <c r="AE40" s="9">
        <v>25557</v>
      </c>
      <c r="AG40" s="4" t="s">
        <v>61</v>
      </c>
      <c r="AH40" s="9">
        <v>36374</v>
      </c>
      <c r="AJ40" s="4" t="s">
        <v>95</v>
      </c>
      <c r="AK40" s="9">
        <v>11605</v>
      </c>
    </row>
    <row r="41" spans="12:44" x14ac:dyDescent="0.25">
      <c r="AA41" s="4" t="s">
        <v>79</v>
      </c>
      <c r="AB41" s="9">
        <v>14400</v>
      </c>
      <c r="AD41" s="4" t="s">
        <v>52</v>
      </c>
      <c r="AE41" s="9">
        <v>16906</v>
      </c>
      <c r="AG41" s="4" t="s">
        <v>93</v>
      </c>
      <c r="AH41" s="9">
        <v>14440</v>
      </c>
      <c r="AJ41" s="4" t="s">
        <v>96</v>
      </c>
      <c r="AK41" s="9">
        <v>6486</v>
      </c>
      <c r="AO41" t="s">
        <v>28</v>
      </c>
      <c r="AP41">
        <f>IF($M$20=3,MAX($AB$35:$AB$44),IF($M$20=4,MAX($AE$35:$AE$44), IF($M$20=5, MAX($AH$35:$AH$44), IF($M$20=6, MAX($AK$35:$AK$44),MAX($AB$35:$AB$44)))))</f>
        <v>35600</v>
      </c>
    </row>
    <row r="42" spans="12:44" x14ac:dyDescent="0.25">
      <c r="AA42" s="4" t="s">
        <v>81</v>
      </c>
      <c r="AB42" s="9">
        <v>6400</v>
      </c>
      <c r="AD42" s="4" t="s">
        <v>88</v>
      </c>
      <c r="AE42" s="9">
        <v>16563</v>
      </c>
      <c r="AG42" s="4" t="s">
        <v>64</v>
      </c>
      <c r="AH42" s="9">
        <v>111359</v>
      </c>
      <c r="AJ42" s="4" t="s">
        <v>65</v>
      </c>
      <c r="AK42" s="9">
        <v>13307</v>
      </c>
      <c r="AO42" t="s">
        <v>29</v>
      </c>
      <c r="AP42">
        <f>IF($M$20=3,MIN($AB$35:$AB$44),IF($M$20=4,MIN($AE$35:$AE$44), IF($M$20=5, MIN($AH$35:$AH$44), IF($M$20=6, MIN($AK$35:$AK$44),MIN($AB$35:$AB$44)))))</f>
        <v>5400</v>
      </c>
    </row>
    <row r="43" spans="12:44" x14ac:dyDescent="0.25">
      <c r="AA43" s="4" t="s">
        <v>85</v>
      </c>
      <c r="AB43" s="9">
        <v>13600</v>
      </c>
      <c r="AD43" s="4" t="s">
        <v>53</v>
      </c>
      <c r="AE43" s="9">
        <v>38033</v>
      </c>
      <c r="AG43" s="4" t="s">
        <v>94</v>
      </c>
      <c r="AH43" s="9">
        <v>31900</v>
      </c>
      <c r="AJ43" s="4" t="s">
        <v>75</v>
      </c>
      <c r="AK43" s="9">
        <v>21787</v>
      </c>
    </row>
    <row r="44" spans="12:44" x14ac:dyDescent="0.25">
      <c r="AA44" s="4" t="s">
        <v>86</v>
      </c>
      <c r="AB44" s="9">
        <v>9900</v>
      </c>
      <c r="AD44" s="4" t="s">
        <v>54</v>
      </c>
      <c r="AE44" s="9">
        <v>59591</v>
      </c>
      <c r="AG44" s="4" t="s">
        <v>65</v>
      </c>
      <c r="AH44" s="9">
        <v>13307</v>
      </c>
      <c r="AJ44" s="4" t="s">
        <v>76</v>
      </c>
      <c r="AK44" s="9">
        <v>243613</v>
      </c>
    </row>
    <row r="45" spans="12:44" x14ac:dyDescent="0.25">
      <c r="AO45" t="str">
        <f t="shared" ref="AO45:AO55" si="12">IF($M$20=3, AA34, IF($M$20=4,AD34, IF($M$20=5,AG34, IF($M$20=6,AJ34,AA34))))</f>
        <v>Company</v>
      </c>
      <c r="AP45" t="str">
        <f t="shared" ref="AP45:AP55" si="13">IF($M$20=3, AB34, IF($M$20=4,AE34, IF($M$20=5,AH34, IF($M$20=6,AK34,AB34))))</f>
        <v>Total Funds</v>
      </c>
      <c r="AQ45" t="s">
        <v>30</v>
      </c>
      <c r="AR45" t="s">
        <v>31</v>
      </c>
    </row>
    <row r="46" spans="12:44" x14ac:dyDescent="0.25">
      <c r="AO46" t="str">
        <f t="shared" si="12"/>
        <v>Bytedance</v>
      </c>
      <c r="AP46" s="9">
        <f t="shared" si="13"/>
        <v>35600</v>
      </c>
      <c r="AQ46" s="6">
        <f>IF(AP46=$AP$41,AP46,"")</f>
        <v>35600</v>
      </c>
      <c r="AR46" s="6" t="str">
        <f>IF(AP46=$AP$42, AP46, "")</f>
        <v/>
      </c>
    </row>
    <row r="47" spans="12:44" x14ac:dyDescent="0.25">
      <c r="AO47" t="str">
        <f t="shared" si="12"/>
        <v>Delivery Hero</v>
      </c>
      <c r="AP47" s="9">
        <f t="shared" si="13"/>
        <v>26500</v>
      </c>
      <c r="AQ47" s="6" t="str">
        <f t="shared" ref="AQ47:AQ55" si="14">IF(AP47=$AP$41,AP47,"")</f>
        <v/>
      </c>
      <c r="AR47" s="6" t="str">
        <f t="shared" ref="AR47:AR55" si="15">IF(AP47=$AP$42, AP47, "")</f>
        <v/>
      </c>
    </row>
    <row r="48" spans="12:44" x14ac:dyDescent="0.25">
      <c r="AO48" t="str">
        <f t="shared" si="12"/>
        <v>Byju's</v>
      </c>
      <c r="AP48" s="9">
        <f t="shared" si="13"/>
        <v>11000</v>
      </c>
      <c r="AQ48" s="6" t="str">
        <f t="shared" si="14"/>
        <v/>
      </c>
      <c r="AR48" s="6" t="str">
        <f t="shared" si="15"/>
        <v/>
      </c>
    </row>
    <row r="49" spans="41:44" x14ac:dyDescent="0.25">
      <c r="AO49" t="str">
        <f t="shared" si="12"/>
        <v>Airbnb</v>
      </c>
      <c r="AP49" s="9">
        <f t="shared" si="13"/>
        <v>11800</v>
      </c>
      <c r="AQ49" s="6" t="str">
        <f t="shared" si="14"/>
        <v/>
      </c>
      <c r="AR49" s="6" t="str">
        <f t="shared" si="15"/>
        <v/>
      </c>
    </row>
    <row r="50" spans="41:44" x14ac:dyDescent="0.25">
      <c r="AO50" t="str">
        <f t="shared" si="12"/>
        <v>Flipkart</v>
      </c>
      <c r="AP50" s="9">
        <f t="shared" si="13"/>
        <v>12900</v>
      </c>
      <c r="AQ50" s="6" t="str">
        <f t="shared" si="14"/>
        <v/>
      </c>
      <c r="AR50" s="6" t="str">
        <f t="shared" si="15"/>
        <v/>
      </c>
    </row>
    <row r="51" spans="41:44" x14ac:dyDescent="0.25">
      <c r="AO51" t="str">
        <f t="shared" si="12"/>
        <v>Getir</v>
      </c>
      <c r="AP51" s="9">
        <f t="shared" si="13"/>
        <v>5400</v>
      </c>
      <c r="AQ51" s="6" t="str">
        <f t="shared" si="14"/>
        <v/>
      </c>
      <c r="AR51" s="6">
        <f t="shared" si="15"/>
        <v>5400</v>
      </c>
    </row>
    <row r="52" spans="41:44" x14ac:dyDescent="0.25">
      <c r="AO52" t="str">
        <f t="shared" si="12"/>
        <v>Argo AI</v>
      </c>
      <c r="AP52" s="9">
        <f t="shared" si="13"/>
        <v>14400</v>
      </c>
      <c r="AQ52" s="6" t="str">
        <f t="shared" si="14"/>
        <v/>
      </c>
      <c r="AR52" s="6" t="str">
        <f t="shared" si="15"/>
        <v/>
      </c>
    </row>
    <row r="53" spans="41:44" x14ac:dyDescent="0.25">
      <c r="AO53" t="str">
        <f t="shared" si="12"/>
        <v>Compass</v>
      </c>
      <c r="AP53" s="9">
        <f t="shared" si="13"/>
        <v>6400</v>
      </c>
      <c r="AQ53" s="6" t="str">
        <f t="shared" si="14"/>
        <v/>
      </c>
      <c r="AR53" s="6" t="str">
        <f t="shared" si="15"/>
        <v/>
      </c>
    </row>
    <row r="54" spans="41:44" x14ac:dyDescent="0.25">
      <c r="AO54" t="str">
        <f t="shared" si="12"/>
        <v>Gopuff</v>
      </c>
      <c r="AP54" s="9">
        <f t="shared" si="13"/>
        <v>13600</v>
      </c>
      <c r="AQ54" s="6" t="str">
        <f t="shared" si="14"/>
        <v/>
      </c>
      <c r="AR54" s="6" t="str">
        <f t="shared" si="15"/>
        <v/>
      </c>
    </row>
    <row r="55" spans="41:44" x14ac:dyDescent="0.25">
      <c r="AO55" t="str">
        <f t="shared" si="12"/>
        <v>Grab</v>
      </c>
      <c r="AP55" s="9">
        <f t="shared" si="13"/>
        <v>9900</v>
      </c>
      <c r="AQ55" s="6" t="str">
        <f t="shared" si="14"/>
        <v/>
      </c>
      <c r="AR55" s="6" t="str">
        <f t="shared" si="15"/>
        <v/>
      </c>
    </row>
  </sheetData>
  <mergeCells count="7">
    <mergeCell ref="AN16:AQ16"/>
    <mergeCell ref="AC2:AI2"/>
    <mergeCell ref="AC31:AI31"/>
    <mergeCell ref="C2:G2"/>
    <mergeCell ref="K23:N23"/>
    <mergeCell ref="R23:U23"/>
    <mergeCell ref="M2:Q2"/>
  </mergeCells>
  <pageMargins left="0.7" right="0.7" top="0.75" bottom="0.75" header="0.3" footer="0.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E5F02701-97D5-402A-9B81-D4B431323AAA}">
  <ds:schemaRefs>
    <ds:schemaRef ds:uri="http://schemas.microsoft.com/DataMashup"/>
  </ds:schemaRefs>
</ds:datastoreItem>
</file>

<file path=customXml/itemProps2.xml><?xml version="1.0" encoding="utf-8"?>
<ds:datastoreItem xmlns:ds="http://schemas.openxmlformats.org/officeDocument/2006/customXml" ds:itemID="{7BD4112E-343C-46F8-85B8-15C5F475B8A0}">
  <ds:schemaRefs/>
</ds:datastoreItem>
</file>

<file path=customXml/itemProps3.xml><?xml version="1.0" encoding="utf-8"?>
<ds:datastoreItem xmlns:ds="http://schemas.openxmlformats.org/officeDocument/2006/customXml" ds:itemID="{2F2723E9-BF6B-495E-904C-C2537CE160A7}">
  <ds:schemaRefs/>
</ds:datastoreItem>
</file>

<file path=customXml/itemProps4.xml><?xml version="1.0" encoding="utf-8"?>
<ds:datastoreItem xmlns:ds="http://schemas.openxmlformats.org/officeDocument/2006/customXml" ds:itemID="{D23B92CB-A5E5-4F16-87D9-F4A225CA72F1}">
  <ds:schemaRefs/>
</ds:datastoreItem>
</file>

<file path=customXml/itemProps5.xml><?xml version="1.0" encoding="utf-8"?>
<ds:datastoreItem xmlns:ds="http://schemas.openxmlformats.org/officeDocument/2006/customXml" ds:itemID="{B105FE9E-C3EF-4DC0-ACA7-A8A8A44B95E6}">
  <ds:schemaRefs/>
</ds:datastoreItem>
</file>

<file path=customXml/itemProps6.xml><?xml version="1.0" encoding="utf-8"?>
<ds:datastoreItem xmlns:ds="http://schemas.openxmlformats.org/officeDocument/2006/customXml" ds:itemID="{9982A933-E6FF-4D33-9204-1649D394B761}">
  <ds:schemaRefs/>
</ds:datastoreItem>
</file>

<file path=customXml/itemProps7.xml><?xml version="1.0" encoding="utf-8"?>
<ds:datastoreItem xmlns:ds="http://schemas.openxmlformats.org/officeDocument/2006/customXml" ds:itemID="{DF64E37E-E36C-4B6B-A28E-9F0D1058C8C9}">
  <ds:schemaRefs/>
</ds:datastoreItem>
</file>

<file path=customXml/itemProps8.xml><?xml version="1.0" encoding="utf-8"?>
<ds:datastoreItem xmlns:ds="http://schemas.openxmlformats.org/officeDocument/2006/customXml" ds:itemID="{52E98F03-6A2B-4694-9CD4-D8F5E3E4E910}">
  <ds:schemaRefs/>
</ds:datastoreItem>
</file>

<file path=customXml/itemProps9.xml><?xml version="1.0" encoding="utf-8"?>
<ds:datastoreItem xmlns:ds="http://schemas.openxmlformats.org/officeDocument/2006/customXml" ds:itemID="{1D211643-BA95-4149-B36A-A7875E97C34E}">
  <ds:schemaRefs/>
</ds:datastoreItem>
</file>

<file path=customXml/itemProps10.xml><?xml version="1.0" encoding="utf-8"?>
<ds:datastoreItem xmlns:ds="http://schemas.openxmlformats.org/officeDocument/2006/customXml" ds:itemID="{686C6ED4-A18D-4132-88B0-ED0353ED1768}">
  <ds:schemaRefs/>
</ds:datastoreItem>
</file>

<file path=customXml/itemProps11.xml><?xml version="1.0" encoding="utf-8"?>
<ds:datastoreItem xmlns:ds="http://schemas.openxmlformats.org/officeDocument/2006/customXml" ds:itemID="{D1AEA26B-F13D-45E3-97ED-5755304DED83}">
  <ds:schemaRefs/>
</ds:datastoreItem>
</file>

<file path=customXml/itemProps12.xml><?xml version="1.0" encoding="utf-8"?>
<ds:datastoreItem xmlns:ds="http://schemas.openxmlformats.org/officeDocument/2006/customXml" ds:itemID="{59DB06DA-A3A4-49F6-9098-B36F86B156AE}">
  <ds:schemaRefs/>
</ds:datastoreItem>
</file>

<file path=customXml/itemProps13.xml><?xml version="1.0" encoding="utf-8"?>
<ds:datastoreItem xmlns:ds="http://schemas.openxmlformats.org/officeDocument/2006/customXml" ds:itemID="{5508B58A-5EDA-4526-A6AF-5445441A459D}">
  <ds:schemaRefs/>
</ds:datastoreItem>
</file>

<file path=customXml/itemProps14.xml><?xml version="1.0" encoding="utf-8"?>
<ds:datastoreItem xmlns:ds="http://schemas.openxmlformats.org/officeDocument/2006/customXml" ds:itemID="{AED5DD86-6E45-491A-B24D-C5BA15C488E0}">
  <ds:schemaRefs/>
</ds:datastoreItem>
</file>

<file path=customXml/itemProps15.xml><?xml version="1.0" encoding="utf-8"?>
<ds:datastoreItem xmlns:ds="http://schemas.openxmlformats.org/officeDocument/2006/customXml" ds:itemID="{6406B0A4-0134-48E3-95FB-D29467FE2C41}">
  <ds:schemaRefs/>
</ds:datastoreItem>
</file>

<file path=customXml/itemProps16.xml><?xml version="1.0" encoding="utf-8"?>
<ds:datastoreItem xmlns:ds="http://schemas.openxmlformats.org/officeDocument/2006/customXml" ds:itemID="{DE99A56C-4DDC-4C5B-A6F1-C7769F1E118D}">
  <ds:schemaRefs/>
</ds:datastoreItem>
</file>

<file path=customXml/itemProps17.xml><?xml version="1.0" encoding="utf-8"?>
<ds:datastoreItem xmlns:ds="http://schemas.openxmlformats.org/officeDocument/2006/customXml" ds:itemID="{09D93A86-7077-4AC1-AFE5-4A93106D4088}">
  <ds:schemaRefs/>
</ds:datastoreItem>
</file>

<file path=customXml/itemProps18.xml><?xml version="1.0" encoding="utf-8"?>
<ds:datastoreItem xmlns:ds="http://schemas.openxmlformats.org/officeDocument/2006/customXml" ds:itemID="{C8AC47A5-E958-406C-93F9-706639AE2CA6}">
  <ds:schemaRefs/>
</ds:datastoreItem>
</file>

<file path=customXml/itemProps19.xml><?xml version="1.0" encoding="utf-8"?>
<ds:datastoreItem xmlns:ds="http://schemas.openxmlformats.org/officeDocument/2006/customXml" ds:itemID="{BA87D8B0-2085-4969-895B-B5B423C83ED3}">
  <ds:schemaRefs/>
</ds:datastoreItem>
</file>

<file path=customXml/itemProps20.xml><?xml version="1.0" encoding="utf-8"?>
<ds:datastoreItem xmlns:ds="http://schemas.openxmlformats.org/officeDocument/2006/customXml" ds:itemID="{27CD2673-1C25-4F40-ACEF-C03D00D054F9}">
  <ds:schemaRefs/>
</ds:datastoreItem>
</file>

<file path=customXml/itemProps21.xml><?xml version="1.0" encoding="utf-8"?>
<ds:datastoreItem xmlns:ds="http://schemas.openxmlformats.org/officeDocument/2006/customXml" ds:itemID="{3DAF3231-9925-4720-8E1A-FE5F248A453E}">
  <ds:schemaRefs/>
</ds:datastoreItem>
</file>

<file path=customXml/itemProps22.xml><?xml version="1.0" encoding="utf-8"?>
<ds:datastoreItem xmlns:ds="http://schemas.openxmlformats.org/officeDocument/2006/customXml" ds:itemID="{2F3A3F23-E28C-4CFA-850B-8F33835BE5A4}">
  <ds:schemaRefs/>
</ds:datastoreItem>
</file>

<file path=customXml/itemProps23.xml><?xml version="1.0" encoding="utf-8"?>
<ds:datastoreItem xmlns:ds="http://schemas.openxmlformats.org/officeDocument/2006/customXml" ds:itemID="{4A756B43-1153-4B9E-A91E-DAD61F2D011A}">
  <ds:schemaRefs/>
</ds:datastoreItem>
</file>

<file path=customXml/itemProps24.xml><?xml version="1.0" encoding="utf-8"?>
<ds:datastoreItem xmlns:ds="http://schemas.openxmlformats.org/officeDocument/2006/customXml" ds:itemID="{776A946A-C9F0-479F-BEE4-B5C2DA00FBC0}">
  <ds:schemaRefs/>
</ds:datastoreItem>
</file>

<file path=customXml/itemProps25.xml><?xml version="1.0" encoding="utf-8"?>
<ds:datastoreItem xmlns:ds="http://schemas.openxmlformats.org/officeDocument/2006/customXml" ds:itemID="{E6915DD3-5245-4BE9-B5F9-5E085888EB43}">
  <ds:schemaRefs/>
</ds:datastoreItem>
</file>

<file path=customXml/itemProps26.xml><?xml version="1.0" encoding="utf-8"?>
<ds:datastoreItem xmlns:ds="http://schemas.openxmlformats.org/officeDocument/2006/customXml" ds:itemID="{659B7AE6-A31A-4DC7-841A-AD00D4B90334}">
  <ds:schemaRefs/>
</ds:datastoreItem>
</file>

<file path=customXml/itemProps27.xml><?xml version="1.0" encoding="utf-8"?>
<ds:datastoreItem xmlns:ds="http://schemas.openxmlformats.org/officeDocument/2006/customXml" ds:itemID="{74A5A85A-1232-4085-8D5A-E86F56DFCA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Dashboard</vt:lpstr>
      <vt:lpstr>Insights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Godwin</dc:creator>
  <cp:lastModifiedBy>Thompson Godwin</cp:lastModifiedBy>
  <dcterms:created xsi:type="dcterms:W3CDTF">2026-02-22T12:09:06Z</dcterms:created>
  <dcterms:modified xsi:type="dcterms:W3CDTF">2026-06-11T18:45:26Z</dcterms:modified>
</cp:coreProperties>
</file>